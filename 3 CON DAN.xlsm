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3040" windowHeight="8676" tabRatio="114" firstSheet="2" activeTab="2"/>
  </bookViews>
  <sheets>
    <sheet name="MENU" sheetId="5" state="hidden" r:id="rId1"/>
    <sheet name="MATERIAL" sheetId="2" state="hidden" r:id="rId2"/>
    <sheet name="BILL" sheetId="3" r:id="rId3"/>
    <sheet name="DT" sheetId="8" r:id="rId4"/>
    <sheet name="TONG_LY" sheetId="9" r:id="rId5"/>
    <sheet name="1_5" sheetId="10" r:id="rId6"/>
  </sheets>
  <definedNames>
    <definedName name="_xlnm.Print_Area" localSheetId="2">BILL!$B$4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" i="10" l="1"/>
  <c r="U13" i="10"/>
  <c r="U5" i="10"/>
  <c r="F20" i="2" l="1"/>
  <c r="F19" i="2"/>
  <c r="A5" i="3" l="1"/>
  <c r="F23" i="2" l="1"/>
  <c r="F4" i="2"/>
  <c r="C5" i="5"/>
  <c r="F5" i="5"/>
  <c r="H5" i="5"/>
  <c r="I5" i="5"/>
  <c r="F7" i="2"/>
  <c r="F8" i="2"/>
  <c r="F9" i="2"/>
  <c r="F10" i="2"/>
  <c r="F11" i="2"/>
  <c r="F12" i="2"/>
  <c r="F13" i="2"/>
  <c r="F14" i="2"/>
  <c r="F15" i="2"/>
  <c r="F16" i="2"/>
  <c r="F17" i="2"/>
  <c r="F18" i="2"/>
  <c r="F21" i="2"/>
  <c r="J5" i="5" s="1"/>
  <c r="F22" i="2"/>
  <c r="K5" i="5" s="1"/>
  <c r="F5" i="2" l="1"/>
  <c r="D5" i="5" s="1"/>
  <c r="F6" i="2"/>
  <c r="E5" i="5" s="1"/>
  <c r="F3" i="2"/>
  <c r="B5" i="5" s="1"/>
  <c r="L3" i="5" l="1"/>
  <c r="M3" i="5" l="1"/>
  <c r="P3" i="5" s="1"/>
</calcChain>
</file>

<file path=xl/sharedStrings.xml><?xml version="1.0" encoding="utf-8"?>
<sst xmlns="http://schemas.openxmlformats.org/spreadsheetml/2006/main" count="931" uniqueCount="100">
  <si>
    <t>HÓA ĐƠN</t>
  </si>
  <si>
    <t>SL</t>
  </si>
  <si>
    <t>Tổng tiền</t>
  </si>
  <si>
    <t>SĐT: 0866.008.667</t>
  </si>
  <si>
    <t>Wifi: HUN TEA</t>
  </si>
  <si>
    <t>MÓN</t>
  </si>
  <si>
    <t>BÁNH FLAN</t>
  </si>
  <si>
    <t>THẠCH CỦ NĂNG</t>
  </si>
  <si>
    <t>NGUYÊN LIỆU</t>
  </si>
  <si>
    <t>STT</t>
  </si>
  <si>
    <t>TÊN</t>
  </si>
  <si>
    <t>GIÁ NHẬP</t>
  </si>
  <si>
    <t>SỐ LƯỢNG</t>
  </si>
  <si>
    <t>ĐƠN VỊ</t>
  </si>
  <si>
    <t>GIÁ ĐƠN VỊ</t>
  </si>
  <si>
    <t>GHI CHÚ</t>
  </si>
  <si>
    <t>ĐƯỜNG THÁI</t>
  </si>
  <si>
    <t>SỮA ĐẶC VNM TÀI LỘC</t>
  </si>
  <si>
    <t>BỘT SỮA FRIMA HQ</t>
  </si>
  <si>
    <t>TRÀ ĐEN LỘC PHÁT</t>
  </si>
  <si>
    <t>CAFÉ PHIN</t>
  </si>
  <si>
    <t>CAFÉ HẠT</t>
  </si>
  <si>
    <t>BỌC MANG ĐI</t>
  </si>
  <si>
    <t>BỘ LY MUỖNG THÌA</t>
  </si>
  <si>
    <t>YAGOURT HỘP</t>
  </si>
  <si>
    <t>BƠ TRÁI</t>
  </si>
  <si>
    <t>DÂU TRÁI</t>
  </si>
  <si>
    <t>SỮA TƯƠI</t>
  </si>
  <si>
    <t>RICH LÙN</t>
  </si>
  <si>
    <t>Gram</t>
  </si>
  <si>
    <t>HẠT ĐÁC</t>
  </si>
  <si>
    <t>BỘT…</t>
  </si>
  <si>
    <t>BỘT LÀM TRÂN CHÂU TƯƠI</t>
  </si>
  <si>
    <t>BỘT NĂNG</t>
  </si>
  <si>
    <t>BỘT LÀM TRÂN CHÂU</t>
  </si>
  <si>
    <t>PHOMAI</t>
  </si>
  <si>
    <t>CỦ NĂNG</t>
  </si>
  <si>
    <t>FOB L</t>
  </si>
  <si>
    <t>FOB M</t>
  </si>
  <si>
    <t>RETAIL L</t>
  </si>
  <si>
    <t>RETAIL M</t>
  </si>
  <si>
    <t>Pcs</t>
  </si>
  <si>
    <t>ĐÁ</t>
  </si>
  <si>
    <t>% AVG RETAIL</t>
  </si>
  <si>
    <t>Đ/C: 43 Nguyễn Ái Quốc, BH, ĐN</t>
  </si>
  <si>
    <t>(Đầu công viên 30/4)</t>
  </si>
  <si>
    <t>*Khách Trả:</t>
  </si>
  <si>
    <t>* Tiền thừa:</t>
  </si>
  <si>
    <t>TOPPING</t>
  </si>
  <si>
    <t xml:space="preserve">     </t>
  </si>
  <si>
    <t>HUN's TEA</t>
  </si>
  <si>
    <t>CAKE</t>
  </si>
  <si>
    <t>Trà Sữa Truyền Thống</t>
  </si>
  <si>
    <t>Trà Sữa Olong Lài</t>
  </si>
  <si>
    <t>Trà Sữa Gạo Rang</t>
  </si>
  <si>
    <t>Trà Đào Cam Xả</t>
  </si>
  <si>
    <t>Trà Dưa Lưới</t>
  </si>
  <si>
    <t>Trà Lài Đác Thơm</t>
  </si>
  <si>
    <t>Matcha Latte</t>
  </si>
  <si>
    <t>Yaourt Đá</t>
  </si>
  <si>
    <t>Yaourt Chanh Dây</t>
  </si>
  <si>
    <t>Đá Me Đác Thơm</t>
  </si>
  <si>
    <t>Sâm Dứa Sữa</t>
  </si>
  <si>
    <t>Trân Châu Đen</t>
  </si>
  <si>
    <t>Trân Châu 3Q</t>
  </si>
  <si>
    <t>Bánh Flan</t>
  </si>
  <si>
    <t>Thạch Nổ Củ Năng</t>
  </si>
  <si>
    <t>Thạch Phô Mai</t>
  </si>
  <si>
    <t>Pudding</t>
  </si>
  <si>
    <t>Phô Mai Chân Mèo</t>
  </si>
  <si>
    <t>Bông Lan Trứng Muôi</t>
  </si>
  <si>
    <t>Bông Lan Mặn</t>
  </si>
  <si>
    <t>BỘ LY MUỖNG THÌA L</t>
  </si>
  <si>
    <t>BỘ LY MUỖNG THÌA M</t>
  </si>
  <si>
    <t>BỘ LY MUỖNG THÌA CF</t>
  </si>
  <si>
    <t>Yaourt Việt Quất</t>
  </si>
  <si>
    <t>Đ.GIÁ</t>
  </si>
  <si>
    <t>T.TIỀN</t>
  </si>
  <si>
    <t>TÊN MÓN</t>
  </si>
  <si>
    <t>Trà Sữa Truyền Thống (M)</t>
  </si>
  <si>
    <t>Trà Sữa Gạo Rang (M)</t>
  </si>
  <si>
    <t>Trà Sữa Gạo Rang (L)</t>
  </si>
  <si>
    <t>Trà Sữa Truyền Thống (L)</t>
  </si>
  <si>
    <t>+ Trân Châu Đen</t>
  </si>
  <si>
    <t>Trà Sữa Olong Lài (M)</t>
  </si>
  <si>
    <t>TOTAL</t>
  </si>
  <si>
    <t>Trà Sữa Olong Lài (L)</t>
  </si>
  <si>
    <t>+ Phô Mai Chân Mèo</t>
  </si>
  <si>
    <t>+ Bánh Flan</t>
  </si>
  <si>
    <t>+ Trân Châu 3Q</t>
  </si>
  <si>
    <t>FREE</t>
  </si>
  <si>
    <t>Bánh Tráng Muối</t>
  </si>
  <si>
    <t>Yaourt</t>
  </si>
  <si>
    <t>+ Thạch Phô Mai</t>
  </si>
  <si>
    <t>+ Thạch Nổ Củ Năng</t>
  </si>
  <si>
    <t>+ Pudding</t>
  </si>
  <si>
    <t>Pass: 0983616198</t>
  </si>
  <si>
    <t>j</t>
  </si>
  <si>
    <t>TEN MON</t>
  </si>
  <si>
    <t>T.TIEN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</si>
</sst>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hh:mm\ dd/mm/yyyy"/>
  </numFmts>
  <fonts count="25">
    <font>
      <sz val="11"/>
      <color theme="1"/>
      <name val="Calibri"/>
      <family val="2"/>
      <scheme val="minor"/>
    </font>
    <font>
      <sz val="10"/>
      <color theme="1"/>
      <name val="Calibri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sz val="11"/>
      <name val="Calibri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9"/>
      <color theme="1"/>
      <name val=".VnArabia"/>
      <family val="2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43" fontId="6" fillId="0" borderId="0" applyFont="0" applyFill="0" applyBorder="0" applyAlignment="0" applyProtection="0"/>
    <xf numFmtId="0" fontId="9" fillId="0" borderId="0"/>
    <xf numFmtId="9" fontId="6" fillId="0" borderId="0" applyFont="0" applyFill="0" applyBorder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0" xfId="0" applyBorder="1"/>
    <xf numFmtId="0" fontId="7" fillId="2" borderId="2" xfId="0" applyFont="1" applyFill="1" applyBorder="1"/>
    <xf numFmtId="0" fontId="7" fillId="2" borderId="5" xfId="0" applyFont="1" applyFill="1" applyBorder="1"/>
    <xf numFmtId="0" fontId="7" fillId="2" borderId="9" xfId="0" applyFont="1" applyFill="1" applyBorder="1"/>
    <xf numFmtId="0" fontId="0" fillId="3" borderId="10" xfId="0" applyFill="1" applyBorder="1"/>
    <xf numFmtId="0" fontId="8" fillId="7" borderId="1" xfId="0" applyFont="1" applyFill="1" applyBorder="1"/>
    <xf numFmtId="0" fontId="0" fillId="4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0" borderId="0" xfId="0" applyNumberFormat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164" fontId="0" fillId="0" borderId="1" xfId="1" applyNumberFormat="1" applyFont="1" applyBorder="1"/>
    <xf numFmtId="0" fontId="0" fillId="0" borderId="14" xfId="0" applyBorder="1"/>
    <xf numFmtId="0" fontId="0" fillId="0" borderId="7" xfId="0" applyBorder="1"/>
    <xf numFmtId="0" fontId="0" fillId="0" borderId="8" xfId="0" applyBorder="1"/>
    <xf numFmtId="164" fontId="0" fillId="0" borderId="8" xfId="1" applyNumberFormat="1" applyFont="1" applyBorder="1"/>
    <xf numFmtId="0" fontId="0" fillId="0" borderId="15" xfId="0" applyBorder="1"/>
    <xf numFmtId="0" fontId="0" fillId="5" borderId="10" xfId="0" applyFill="1" applyBorder="1"/>
    <xf numFmtId="39" fontId="0" fillId="0" borderId="1" xfId="0" applyNumberFormat="1" applyBorder="1"/>
    <xf numFmtId="39" fontId="0" fillId="0" borderId="8" xfId="0" applyNumberFormat="1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Protection="1"/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0" fontId="0" fillId="3" borderId="1" xfId="0" applyFill="1" applyBorder="1"/>
    <xf numFmtId="0" fontId="0" fillId="5" borderId="1" xfId="0" applyFill="1" applyBorder="1"/>
    <xf numFmtId="0" fontId="16" fillId="8" borderId="0" xfId="0" applyFont="1" applyFill="1" applyBorder="1" applyAlignment="1">
      <alignment horizontal="left" vertical="center"/>
    </xf>
    <xf numFmtId="0" fontId="17" fillId="2" borderId="2" xfId="0" applyFont="1" applyFill="1" applyBorder="1" applyAlignment="1">
      <alignment vertical="center"/>
    </xf>
    <xf numFmtId="0" fontId="15" fillId="2" borderId="8" xfId="0" applyFont="1" applyFill="1" applyBorder="1" applyAlignment="1">
      <alignment horizontal="center"/>
    </xf>
    <xf numFmtId="0" fontId="22" fillId="2" borderId="8" xfId="0" applyFont="1" applyFill="1" applyBorder="1" applyAlignment="1">
      <alignment horizontal="center" vertical="center"/>
    </xf>
    <xf numFmtId="164" fontId="22" fillId="2" borderId="8" xfId="1" applyNumberFormat="1" applyFont="1" applyFill="1" applyBorder="1"/>
    <xf numFmtId="164" fontId="21" fillId="2" borderId="8" xfId="0" applyNumberFormat="1" applyFont="1" applyFill="1" applyBorder="1"/>
    <xf numFmtId="0" fontId="20" fillId="2" borderId="8" xfId="0" applyFont="1" applyFill="1" applyBorder="1" applyAlignment="1">
      <alignment horizontal="left"/>
    </xf>
    <xf numFmtId="164" fontId="3" fillId="2" borderId="1" xfId="0" applyNumberFormat="1" applyFont="1" applyFill="1" applyBorder="1"/>
    <xf numFmtId="0" fontId="0" fillId="0" borderId="0" xfId="0" applyAlignment="1" applyProtection="1">
      <alignment horizontal="left" vertical="center"/>
    </xf>
    <xf numFmtId="0" fontId="0" fillId="0" borderId="16" xfId="0" applyBorder="1" applyAlignment="1" applyProtection="1">
      <alignment horizontal="left" vertical="center"/>
    </xf>
    <xf numFmtId="164" fontId="0" fillId="0" borderId="0" xfId="1" applyNumberFormat="1" applyFont="1" applyProtection="1"/>
    <xf numFmtId="0" fontId="23" fillId="8" borderId="0" xfId="0" applyFont="1" applyFill="1"/>
    <xf numFmtId="164" fontId="7" fillId="8" borderId="0" xfId="1" applyNumberFormat="1" applyFont="1" applyFill="1"/>
    <xf numFmtId="0" fontId="0" fillId="3" borderId="1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164" fontId="15" fillId="2" borderId="1" xfId="0" applyNumberFormat="1" applyFont="1" applyFill="1" applyBorder="1"/>
    <xf numFmtId="0" fontId="1" fillId="9" borderId="0" xfId="0" quotePrefix="1" applyFont="1" applyFill="1" applyAlignment="1">
      <alignment horizontal="left"/>
    </xf>
    <xf numFmtId="0" fontId="1" fillId="9" borderId="0" xfId="0" applyFont="1" applyFill="1"/>
    <xf numFmtId="0" fontId="5" fillId="9" borderId="0" xfId="0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0" xfId="0" applyFont="1" applyFill="1" applyBorder="1"/>
    <xf numFmtId="0" fontId="2" fillId="9" borderId="0" xfId="0" applyFont="1" applyFill="1"/>
    <xf numFmtId="0" fontId="15" fillId="9" borderId="8" xfId="0" applyFont="1" applyFill="1" applyBorder="1" applyAlignment="1">
      <alignment horizontal="center"/>
    </xf>
    <xf numFmtId="0" fontId="20" fillId="9" borderId="8" xfId="0" applyFont="1" applyFill="1" applyBorder="1" applyAlignment="1">
      <alignment horizontal="left"/>
    </xf>
    <xf numFmtId="0" fontId="22" fillId="9" borderId="8" xfId="0" applyFont="1" applyFill="1" applyBorder="1" applyAlignment="1">
      <alignment horizontal="center" vertical="center"/>
    </xf>
    <xf numFmtId="164" fontId="22" fillId="9" borderId="8" xfId="1" applyNumberFormat="1" applyFont="1" applyFill="1" applyBorder="1"/>
    <xf numFmtId="164" fontId="21" fillId="9" borderId="8" xfId="0" applyNumberFormat="1" applyFont="1" applyFill="1" applyBorder="1"/>
    <xf numFmtId="164" fontId="3" fillId="9" borderId="1" xfId="0" applyNumberFormat="1" applyFont="1" applyFill="1" applyBorder="1"/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/>
    <xf numFmtId="164" fontId="3" fillId="9" borderId="0" xfId="0" applyNumberFormat="1" applyFont="1" applyFill="1" applyBorder="1"/>
    <xf numFmtId="37" fontId="3" fillId="9" borderId="0" xfId="0" applyNumberFormat="1" applyFont="1" applyFill="1" applyBorder="1"/>
    <xf numFmtId="0" fontId="0" fillId="9" borderId="0" xfId="0" applyFill="1"/>
    <xf numFmtId="0" fontId="14" fillId="9" borderId="0" xfId="0" applyFont="1" applyFill="1"/>
    <xf numFmtId="166" fontId="24" fillId="9" borderId="0" xfId="0" applyNumberFormat="1" applyFont="1" applyFill="1" applyAlignment="1">
      <alignment horizontal="left" vertical="top"/>
    </xf>
    <xf numFmtId="0" fontId="0" fillId="3" borderId="10" xfId="0" quotePrefix="1" applyFill="1" applyBorder="1" applyAlignment="1">
      <alignment vertical="center"/>
    </xf>
    <xf numFmtId="0" fontId="0" fillId="5" borderId="8" xfId="0" quotePrefix="1" applyFill="1" applyBorder="1" applyAlignment="1">
      <alignment vertical="center"/>
    </xf>
    <xf numFmtId="0" fontId="0" fillId="3" borderId="1" xfId="0" quotePrefix="1" applyFill="1" applyBorder="1" applyAlignment="1">
      <alignment vertical="center"/>
    </xf>
    <xf numFmtId="0" fontId="0" fillId="3" borderId="10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0" xfId="0" applyFill="1" applyBorder="1" applyAlignment="1">
      <alignment horizontal="left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0" fillId="3" borderId="8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65" fontId="11" fillId="0" borderId="11" xfId="1" applyNumberFormat="1" applyFont="1" applyBorder="1" applyAlignment="1">
      <alignment horizontal="center" vertical="center"/>
    </xf>
    <xf numFmtId="165" fontId="11" fillId="0" borderId="6" xfId="1" applyNumberFormat="1" applyFont="1" applyBorder="1" applyAlignment="1">
      <alignment horizontal="center" vertical="center"/>
    </xf>
    <xf numFmtId="164" fontId="10" fillId="0" borderId="11" xfId="1" applyNumberFormat="1" applyFont="1" applyBorder="1" applyAlignment="1">
      <alignment horizontal="center" vertical="center"/>
    </xf>
    <xf numFmtId="164" fontId="10" fillId="0" borderId="6" xfId="1" applyNumberFormat="1" applyFont="1" applyBorder="1" applyAlignment="1">
      <alignment horizontal="center" vertical="center"/>
    </xf>
    <xf numFmtId="9" fontId="12" fillId="0" borderId="11" xfId="3" applyFont="1" applyBorder="1" applyAlignment="1">
      <alignment horizontal="center" vertical="center"/>
    </xf>
    <xf numFmtId="9" fontId="12" fillId="0" borderId="6" xfId="3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left" vertical="center"/>
    </xf>
    <xf numFmtId="0" fontId="19" fillId="9" borderId="0" xfId="0" applyFont="1" applyFill="1" applyAlignment="1">
      <alignment horizontal="center"/>
    </xf>
    <xf numFmtId="0" fontId="0" fillId="9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9" borderId="0" xfId="0" applyFont="1" applyFill="1" applyAlignment="1"/>
    <xf numFmtId="0" fontId="15" fillId="9" borderId="1" xfId="0" applyFont="1" applyFill="1" applyBorder="1" applyAlignment="1">
      <alignment horizontal="center"/>
    </xf>
    <xf numFmtId="0" fontId="4" fillId="9" borderId="1" xfId="0" applyFont="1" applyFill="1" applyBorder="1"/>
    <xf numFmtId="0" fontId="13" fillId="9" borderId="8" xfId="0" applyFont="1" applyFill="1" applyBorder="1" applyAlignment="1">
      <alignment horizontal="center" vertical="center"/>
    </xf>
    <xf numFmtId="0" fontId="13" fillId="9" borderId="10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/>
    </xf>
    <xf numFmtId="0" fontId="4" fillId="2" borderId="1" xfId="0" applyFont="1" applyFill="1" applyBorder="1"/>
  </cellXfs>
  <cellStyles count="4">
    <cellStyle name="Comma" xfId="1" builtinId="3"/>
    <cellStyle name="Normal" xfId="0" builtinId="0"/>
    <cellStyle name="Normal 2" xfId="2"/>
    <cellStyle name="Percent" xfId="3" builtinId="5"/>
  </cellStyles>
  <dxfs count="11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7" formatCode="#,##0.00_);\(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FF"/>
      <color rgb="FFFFCCFF"/>
      <color rgb="FFFF3399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467196</xdr:colOff>
      <xdr:row>0</xdr:row>
      <xdr:rowOff>0</xdr:rowOff>
    </xdr:from>
    <xdr:to>
      <xdr:col>9</xdr:col>
      <xdr:colOff>167697</xdr:colOff>
      <xdr:row>0</xdr:row>
      <xdr:rowOff>571500</xdr:rowOff>
    </xdr:to>
    <xdr:sp macro="" textlink="">
      <xdr:nvSpPr>
        <xdr:cNvPr id="2" name="6-Point Star 1"/>
        <xdr:cNvSpPr/>
      </xdr:nvSpPr>
      <xdr:spPr>
        <a:xfrm>
          <a:off x="5397336" y="0"/>
          <a:ext cx="3297141" cy="571500"/>
        </a:xfrm>
        <a:prstGeom prst="star6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FF3399"/>
              </a:solidFill>
              <a:latin typeface=".Vn3DH" panose="020B7200000000000000" pitchFamily="34" charset="0"/>
            </a:rPr>
            <a:t>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426720</xdr:colOff>
      <xdr:row>0</xdr:row>
      <xdr:rowOff>67802</xdr:rowOff>
    </xdr:from>
    <xdr:ext cx="3177540" cy="387222"/>
    <xdr:sp macro="" textlink="">
      <xdr:nvSpPr>
        <xdr:cNvPr id="2" name="TextBox 1"/>
        <xdr:cNvSpPr txBox="1"/>
      </xdr:nvSpPr>
      <xdr:spPr>
        <a:xfrm>
          <a:off x="3185160" y="67802"/>
          <a:ext cx="3177540" cy="38722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FF3399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000">
              <a:latin typeface="Times New Roman" panose="02020603050405020304" pitchFamily="18" charset="0"/>
              <a:cs typeface="Times New Roman" panose="02020603050405020304" pitchFamily="18" charset="0"/>
            </a:rPr>
            <a:t>GIÁ</a:t>
          </a:r>
          <a:r>
            <a:rPr lang="en-US" sz="2000" baseline="0">
              <a:latin typeface="Times New Roman" panose="02020603050405020304" pitchFamily="18" charset="0"/>
              <a:cs typeface="Times New Roman" panose="02020603050405020304" pitchFamily="18" charset="0"/>
            </a:rPr>
            <a:t> NGUYÊN VẬT LIỆU</a:t>
          </a:r>
          <a:endParaRPr lang="en-US" sz="2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182880</xdr:colOff>
          <xdr:row>7</xdr:row>
          <xdr:rowOff>15240</xdr:rowOff>
        </xdr:from>
        <xdr:to>
          <xdr:col>4</xdr:col>
          <xdr:colOff>350520</xdr:colOff>
          <xdr:row>7</xdr:row>
          <xdr:rowOff>137160</xdr:rowOff>
        </xdr:to>
        <xdr:sp macro="" textlink="">
          <xdr:nvSpPr>
            <xdr:cNvPr id="4102" name="tru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8</xdr:row>
          <xdr:rowOff>22860</xdr:rowOff>
        </xdr:from>
        <xdr:to>
          <xdr:col>4</xdr:col>
          <xdr:colOff>350520</xdr:colOff>
          <xdr:row>8</xdr:row>
          <xdr:rowOff>144780</xdr:rowOff>
        </xdr:to>
        <xdr:sp macro="" textlink="">
          <xdr:nvSpPr>
            <xdr:cNvPr id="4112" name="tru2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9</xdr:row>
          <xdr:rowOff>22860</xdr:rowOff>
        </xdr:from>
        <xdr:to>
          <xdr:col>4</xdr:col>
          <xdr:colOff>350520</xdr:colOff>
          <xdr:row>9</xdr:row>
          <xdr:rowOff>144780</xdr:rowOff>
        </xdr:to>
        <xdr:sp macro="" textlink="">
          <xdr:nvSpPr>
            <xdr:cNvPr id="4114" name="tru3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10</xdr:row>
          <xdr:rowOff>22860</xdr:rowOff>
        </xdr:from>
        <xdr:to>
          <xdr:col>4</xdr:col>
          <xdr:colOff>350520</xdr:colOff>
          <xdr:row>10</xdr:row>
          <xdr:rowOff>144780</xdr:rowOff>
        </xdr:to>
        <xdr:sp macro="" textlink="">
          <xdr:nvSpPr>
            <xdr:cNvPr id="4116" name="tru4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11</xdr:row>
          <xdr:rowOff>30480</xdr:rowOff>
        </xdr:from>
        <xdr:to>
          <xdr:col>4</xdr:col>
          <xdr:colOff>350520</xdr:colOff>
          <xdr:row>11</xdr:row>
          <xdr:rowOff>152400</xdr:rowOff>
        </xdr:to>
        <xdr:sp macro="" textlink="">
          <xdr:nvSpPr>
            <xdr:cNvPr id="4118" name="tru5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7</xdr:row>
          <xdr:rowOff>15240</xdr:rowOff>
        </xdr:from>
        <xdr:to>
          <xdr:col>4</xdr:col>
          <xdr:colOff>548640</xdr:colOff>
          <xdr:row>7</xdr:row>
          <xdr:rowOff>167640</xdr:rowOff>
        </xdr:to>
        <xdr:sp macro="" textlink="">
          <xdr:nvSpPr>
            <xdr:cNvPr id="4119" name="sl1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8</xdr:row>
          <xdr:rowOff>15240</xdr:rowOff>
        </xdr:from>
        <xdr:to>
          <xdr:col>4</xdr:col>
          <xdr:colOff>548640</xdr:colOff>
          <xdr:row>8</xdr:row>
          <xdr:rowOff>175260</xdr:rowOff>
        </xdr:to>
        <xdr:sp macro="" textlink="">
          <xdr:nvSpPr>
            <xdr:cNvPr id="4120" name="sl2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9</xdr:row>
          <xdr:rowOff>15240</xdr:rowOff>
        </xdr:from>
        <xdr:to>
          <xdr:col>4</xdr:col>
          <xdr:colOff>548640</xdr:colOff>
          <xdr:row>9</xdr:row>
          <xdr:rowOff>167640</xdr:rowOff>
        </xdr:to>
        <xdr:sp macro="" textlink="">
          <xdr:nvSpPr>
            <xdr:cNvPr id="4121" name="sl3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10</xdr:row>
          <xdr:rowOff>15240</xdr:rowOff>
        </xdr:from>
        <xdr:to>
          <xdr:col>4</xdr:col>
          <xdr:colOff>548640</xdr:colOff>
          <xdr:row>10</xdr:row>
          <xdr:rowOff>167640</xdr:rowOff>
        </xdr:to>
        <xdr:sp macro="" textlink="">
          <xdr:nvSpPr>
            <xdr:cNvPr id="4122" name="sl4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11</xdr:row>
          <xdr:rowOff>7620</xdr:rowOff>
        </xdr:from>
        <xdr:to>
          <xdr:col>4</xdr:col>
          <xdr:colOff>541020</xdr:colOff>
          <xdr:row>11</xdr:row>
          <xdr:rowOff>167640</xdr:rowOff>
        </xdr:to>
        <xdr:sp macro="" textlink="">
          <xdr:nvSpPr>
            <xdr:cNvPr id="4123" name="sl5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125525</xdr:colOff>
      <xdr:row>10</xdr:row>
      <xdr:rowOff>154956</xdr:rowOff>
    </xdr:from>
    <xdr:to>
      <xdr:col>9</xdr:col>
      <xdr:colOff>463455</xdr:colOff>
      <xdr:row>11</xdr:row>
      <xdr:rowOff>108575</xdr:rowOff>
    </xdr:to>
    <xdr:sp macro="" textlink="">
      <xdr:nvSpPr>
        <xdr:cNvPr id="29" name="Rectangle 28"/>
        <xdr:cNvSpPr/>
      </xdr:nvSpPr>
      <xdr:spPr>
        <a:xfrm>
          <a:off x="5949855" y="2195791"/>
          <a:ext cx="337930" cy="139149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131385</xdr:colOff>
      <xdr:row>11</xdr:row>
      <xdr:rowOff>165153</xdr:rowOff>
    </xdr:from>
    <xdr:to>
      <xdr:col>9</xdr:col>
      <xdr:colOff>469315</xdr:colOff>
      <xdr:row>12</xdr:row>
      <xdr:rowOff>118769</xdr:rowOff>
    </xdr:to>
    <xdr:sp macro="" textlink="">
      <xdr:nvSpPr>
        <xdr:cNvPr id="30" name="Rectangle 29"/>
        <xdr:cNvSpPr/>
      </xdr:nvSpPr>
      <xdr:spPr>
        <a:xfrm>
          <a:off x="5955715" y="2391518"/>
          <a:ext cx="337930" cy="139147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125524</xdr:colOff>
      <xdr:row>12</xdr:row>
      <xdr:rowOff>176875</xdr:rowOff>
    </xdr:from>
    <xdr:to>
      <xdr:col>9</xdr:col>
      <xdr:colOff>463454</xdr:colOff>
      <xdr:row>13</xdr:row>
      <xdr:rowOff>130493</xdr:rowOff>
    </xdr:to>
    <xdr:sp macro="" textlink="">
      <xdr:nvSpPr>
        <xdr:cNvPr id="31" name="Rectangle 30"/>
        <xdr:cNvSpPr/>
      </xdr:nvSpPr>
      <xdr:spPr>
        <a:xfrm>
          <a:off x="5949854" y="2588771"/>
          <a:ext cx="337930" cy="139148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165790</xdr:colOff>
      <xdr:row>14</xdr:row>
      <xdr:rowOff>100675</xdr:rowOff>
    </xdr:from>
    <xdr:to>
      <xdr:col>9</xdr:col>
      <xdr:colOff>503720</xdr:colOff>
      <xdr:row>15</xdr:row>
      <xdr:rowOff>54292</xdr:rowOff>
    </xdr:to>
    <xdr:sp macro="" textlink="">
      <xdr:nvSpPr>
        <xdr:cNvPr id="33" name="Rectangle 32"/>
        <xdr:cNvSpPr/>
      </xdr:nvSpPr>
      <xdr:spPr>
        <a:xfrm>
          <a:off x="5990120" y="2883632"/>
          <a:ext cx="337930" cy="139147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143108</xdr:colOff>
      <xdr:row>16</xdr:row>
      <xdr:rowOff>129983</xdr:rowOff>
    </xdr:from>
    <xdr:to>
      <xdr:col>9</xdr:col>
      <xdr:colOff>481038</xdr:colOff>
      <xdr:row>17</xdr:row>
      <xdr:rowOff>83600</xdr:rowOff>
    </xdr:to>
    <xdr:sp macro="" textlink="">
      <xdr:nvSpPr>
        <xdr:cNvPr id="34" name="Rectangle 33"/>
        <xdr:cNvSpPr/>
      </xdr:nvSpPr>
      <xdr:spPr>
        <a:xfrm>
          <a:off x="5967438" y="3284000"/>
          <a:ext cx="337930" cy="139148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148969</xdr:colOff>
      <xdr:row>17</xdr:row>
      <xdr:rowOff>118259</xdr:rowOff>
    </xdr:from>
    <xdr:to>
      <xdr:col>9</xdr:col>
      <xdr:colOff>486899</xdr:colOff>
      <xdr:row>18</xdr:row>
      <xdr:rowOff>71877</xdr:rowOff>
    </xdr:to>
    <xdr:sp macro="" textlink="">
      <xdr:nvSpPr>
        <xdr:cNvPr id="35" name="Rectangle 34"/>
        <xdr:cNvSpPr/>
      </xdr:nvSpPr>
      <xdr:spPr>
        <a:xfrm>
          <a:off x="5973299" y="3457807"/>
          <a:ext cx="337930" cy="139148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137246</xdr:colOff>
      <xdr:row>19</xdr:row>
      <xdr:rowOff>36961</xdr:rowOff>
    </xdr:from>
    <xdr:to>
      <xdr:col>9</xdr:col>
      <xdr:colOff>475176</xdr:colOff>
      <xdr:row>19</xdr:row>
      <xdr:rowOff>172286</xdr:rowOff>
    </xdr:to>
    <xdr:sp macro="" textlink="">
      <xdr:nvSpPr>
        <xdr:cNvPr id="36" name="Rectangle 35"/>
        <xdr:cNvSpPr/>
      </xdr:nvSpPr>
      <xdr:spPr>
        <a:xfrm>
          <a:off x="5961576" y="3747570"/>
          <a:ext cx="337930" cy="135325"/>
        </a:xfrm>
        <a:prstGeom prst="rect">
          <a:avLst/>
        </a:prstGeom>
        <a:solidFill>
          <a:schemeClr val="bg1"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15</xdr:col>
      <xdr:colOff>12790</xdr:colOff>
      <xdr:row>2</xdr:row>
      <xdr:rowOff>11723</xdr:rowOff>
    </xdr:from>
    <xdr:to>
      <xdr:col>16</xdr:col>
      <xdr:colOff>376206</xdr:colOff>
      <xdr:row>5</xdr:row>
      <xdr:rowOff>29308</xdr:rowOff>
    </xdr:to>
    <xdr:sp macro="[0]!PRINTING" textlink="">
      <xdr:nvSpPr>
        <xdr:cNvPr id="2" name="Rounded Rectangle 1"/>
        <xdr:cNvSpPr/>
      </xdr:nvSpPr>
      <xdr:spPr>
        <a:xfrm>
          <a:off x="9479130" y="382784"/>
          <a:ext cx="973016" cy="57417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PRINT</a:t>
          </a:r>
        </a:p>
      </xdr:txBody>
    </xdr:sp>
    <xdr:clientData/>
  </xdr:twoCellAnchor>
  <xdr:twoCellAnchor editAs="absolute">
    <xdr:from>
      <xdr:col>15</xdr:col>
      <xdr:colOff>47959</xdr:colOff>
      <xdr:row>6</xdr:row>
      <xdr:rowOff>0</xdr:rowOff>
    </xdr:from>
    <xdr:to>
      <xdr:col>16</xdr:col>
      <xdr:colOff>411375</xdr:colOff>
      <xdr:row>9</xdr:row>
      <xdr:rowOff>17585</xdr:rowOff>
    </xdr:to>
    <xdr:sp macro="[0]!NEW_BILL" textlink="">
      <xdr:nvSpPr>
        <xdr:cNvPr id="66" name="Rounded Rectangle 65"/>
        <xdr:cNvSpPr/>
      </xdr:nvSpPr>
      <xdr:spPr>
        <a:xfrm>
          <a:off x="9514299" y="1113183"/>
          <a:ext cx="973016" cy="574176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NEW</a:t>
          </a:r>
        </a:p>
      </xdr:txBody>
    </xdr:sp>
    <xdr:clientData/>
  </xdr:twoCellAnchor>
  <xdr:twoCellAnchor editAs="absolute">
    <xdr:from>
      <xdr:col>15</xdr:col>
      <xdr:colOff>91028</xdr:colOff>
      <xdr:row>11</xdr:row>
      <xdr:rowOff>175842</xdr:rowOff>
    </xdr:from>
    <xdr:to>
      <xdr:col>16</xdr:col>
      <xdr:colOff>460305</xdr:colOff>
      <xdr:row>14</xdr:row>
      <xdr:rowOff>152396</xdr:rowOff>
    </xdr:to>
    <xdr:sp macro="[0]!Module1.TSDV_M_FREE" textlink="">
      <xdr:nvSpPr>
        <xdr:cNvPr id="4" name="6-Point Star 3"/>
        <xdr:cNvSpPr/>
      </xdr:nvSpPr>
      <xdr:spPr>
        <a:xfrm>
          <a:off x="9554310" y="2174627"/>
          <a:ext cx="978877" cy="521677"/>
        </a:xfrm>
        <a:prstGeom prst="star6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FREE</a:t>
          </a:r>
        </a:p>
      </xdr:txBody>
    </xdr:sp>
    <xdr:clientData/>
  </xdr:twoCellAnchor>
  <xdr:twoCellAnchor>
    <xdr:from>
      <xdr:col>4</xdr:col>
      <xdr:colOff>628687</xdr:colOff>
      <xdr:row>0</xdr:row>
      <xdr:rowOff>0</xdr:rowOff>
    </xdr:from>
    <xdr:to>
      <xdr:col>14</xdr:col>
      <xdr:colOff>534902</xdr:colOff>
      <xdr:row>41</xdr:row>
      <xdr:rowOff>167947</xdr:rowOff>
    </xdr:to>
    <xdr:grpSp>
      <xdr:nvGrpSpPr>
        <xdr:cNvPr id="6" name="Group 5"/>
        <xdr:cNvGrpSpPr/>
      </xdr:nvGrpSpPr>
      <xdr:grpSpPr>
        <a:xfrm>
          <a:off x="3000826" y="0"/>
          <a:ext cx="6393154" cy="7774695"/>
          <a:chOff x="3091179" y="0"/>
          <a:chExt cx="6394101" cy="7755290"/>
        </a:xfrm>
      </xdr:grpSpPr>
      <xdr:pic>
        <xdr:nvPicPr>
          <xdr:cNvPr id="3" name="Picture 2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087" t="2667" r="30411" b="3003"/>
          <a:stretch/>
        </xdr:blipFill>
        <xdr:spPr>
          <a:xfrm>
            <a:off x="3091179" y="0"/>
            <a:ext cx="6394101" cy="7755290"/>
          </a:xfrm>
          <a:prstGeom prst="rect">
            <a:avLst/>
          </a:prstGeom>
        </xdr:spPr>
      </xdr:pic>
      <xdr:sp macro="[0]!YOVQ" textlink="">
        <xdr:nvSpPr>
          <xdr:cNvPr id="41" name="Rectangle 40"/>
          <xdr:cNvSpPr/>
        </xdr:nvSpPr>
        <xdr:spPr>
          <a:xfrm>
            <a:off x="8966198" y="4773107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DS" textlink="">
        <xdr:nvSpPr>
          <xdr:cNvPr id="43" name="Rectangle 42"/>
          <xdr:cNvSpPr/>
        </xdr:nvSpPr>
        <xdr:spPr>
          <a:xfrm>
            <a:off x="8959046" y="5842034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Btrang_muoi" textlink="">
        <xdr:nvSpPr>
          <xdr:cNvPr id="44" name="Rectangle 43"/>
          <xdr:cNvSpPr/>
        </xdr:nvSpPr>
        <xdr:spPr>
          <a:xfrm>
            <a:off x="8385809" y="6863950"/>
            <a:ext cx="412433" cy="150778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15K</a:t>
            </a:r>
          </a:p>
        </xdr:txBody>
      </xdr:sp>
      <xdr:sp macro="[0]!BLTM" textlink="">
        <xdr:nvSpPr>
          <xdr:cNvPr id="45" name="Rectangle 44"/>
          <xdr:cNvSpPr/>
        </xdr:nvSpPr>
        <xdr:spPr>
          <a:xfrm>
            <a:off x="8393896" y="7138822"/>
            <a:ext cx="412433" cy="154130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BLM" textlink="">
        <xdr:nvSpPr>
          <xdr:cNvPr id="46" name="Rectangle 45"/>
          <xdr:cNvSpPr/>
        </xdr:nvSpPr>
        <xdr:spPr>
          <a:xfrm>
            <a:off x="8393896" y="7379111"/>
            <a:ext cx="412433" cy="15412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DMDT" textlink="">
        <xdr:nvSpPr>
          <xdr:cNvPr id="47" name="Rectangle 46"/>
          <xdr:cNvSpPr/>
        </xdr:nvSpPr>
        <xdr:spPr>
          <a:xfrm>
            <a:off x="8959046" y="6017703"/>
            <a:ext cx="412433" cy="15412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DV_M" textlink="">
        <xdr:nvSpPr>
          <xdr:cNvPr id="48" name="Rectangle 47"/>
          <xdr:cNvSpPr/>
        </xdr:nvSpPr>
        <xdr:spPr>
          <a:xfrm>
            <a:off x="8370087" y="2119043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DV_L" textlink="">
        <xdr:nvSpPr>
          <xdr:cNvPr id="49" name="Rectangle 48"/>
          <xdr:cNvSpPr/>
        </xdr:nvSpPr>
        <xdr:spPr>
          <a:xfrm>
            <a:off x="8938139" y="2104217"/>
            <a:ext cx="412433" cy="15526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OLL_M" textlink="">
        <xdr:nvSpPr>
          <xdr:cNvPr id="50" name="Rectangle 49"/>
          <xdr:cNvSpPr/>
        </xdr:nvSpPr>
        <xdr:spPr>
          <a:xfrm>
            <a:off x="8376318" y="2316254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OLL_L" textlink="">
        <xdr:nvSpPr>
          <xdr:cNvPr id="51" name="Rectangle 50"/>
          <xdr:cNvSpPr/>
        </xdr:nvSpPr>
        <xdr:spPr>
          <a:xfrm>
            <a:off x="8938508" y="2308607"/>
            <a:ext cx="412433" cy="15526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GR_M" textlink="">
        <xdr:nvSpPr>
          <xdr:cNvPr id="52" name="Rectangle 51"/>
          <xdr:cNvSpPr/>
        </xdr:nvSpPr>
        <xdr:spPr>
          <a:xfrm>
            <a:off x="8376321" y="2520642"/>
            <a:ext cx="412433" cy="154128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SGR_L" textlink="">
        <xdr:nvSpPr>
          <xdr:cNvPr id="53" name="Rectangle 52"/>
          <xdr:cNvSpPr/>
        </xdr:nvSpPr>
        <xdr:spPr>
          <a:xfrm>
            <a:off x="8944374" y="2512995"/>
            <a:ext cx="412433" cy="155267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CD" textlink="">
        <xdr:nvSpPr>
          <xdr:cNvPr id="54" name="Rectangle 53"/>
          <xdr:cNvSpPr/>
        </xdr:nvSpPr>
        <xdr:spPr>
          <a:xfrm>
            <a:off x="5053994" y="2422889"/>
            <a:ext cx="412433" cy="150781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C3Q" textlink="">
        <xdr:nvSpPr>
          <xdr:cNvPr id="55" name="Rectangle 54"/>
          <xdr:cNvSpPr/>
        </xdr:nvSpPr>
        <xdr:spPr>
          <a:xfrm>
            <a:off x="5061146" y="2645506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BFLAN" textlink="">
        <xdr:nvSpPr>
          <xdr:cNvPr id="56" name="Rectangle 55"/>
          <xdr:cNvSpPr/>
        </xdr:nvSpPr>
        <xdr:spPr>
          <a:xfrm>
            <a:off x="5053993" y="2855418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NCN" textlink="">
        <xdr:nvSpPr>
          <xdr:cNvPr id="57" name="Rectangle 56"/>
          <xdr:cNvSpPr/>
        </xdr:nvSpPr>
        <xdr:spPr>
          <a:xfrm>
            <a:off x="5103136" y="3181626"/>
            <a:ext cx="412433" cy="154130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PM" textlink="">
        <xdr:nvSpPr>
          <xdr:cNvPr id="58" name="Rectangle 57"/>
          <xdr:cNvSpPr/>
        </xdr:nvSpPr>
        <xdr:spPr>
          <a:xfrm>
            <a:off x="5075454" y="3622162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UDDING" textlink="">
        <xdr:nvSpPr>
          <xdr:cNvPr id="59" name="Rectangle 58"/>
          <xdr:cNvSpPr/>
        </xdr:nvSpPr>
        <xdr:spPr>
          <a:xfrm>
            <a:off x="5082607" y="3813848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MCM" textlink="">
        <xdr:nvSpPr>
          <xdr:cNvPr id="60" name="Rectangle 59"/>
          <xdr:cNvSpPr/>
        </xdr:nvSpPr>
        <xdr:spPr>
          <a:xfrm>
            <a:off x="5068299" y="4134532"/>
            <a:ext cx="412433" cy="149986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LDT" textlink="">
        <xdr:nvSpPr>
          <xdr:cNvPr id="61" name="Rectangle 60"/>
          <xdr:cNvSpPr/>
        </xdr:nvSpPr>
        <xdr:spPr>
          <a:xfrm>
            <a:off x="8959044" y="3341554"/>
            <a:ext cx="412433" cy="150780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DL" textlink="">
        <xdr:nvSpPr>
          <xdr:cNvPr id="62" name="Rectangle 61"/>
          <xdr:cNvSpPr/>
        </xdr:nvSpPr>
        <xdr:spPr>
          <a:xfrm>
            <a:off x="8959044" y="3552295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DCX" textlink="">
        <xdr:nvSpPr>
          <xdr:cNvPr id="63" name="Rectangle 62"/>
          <xdr:cNvSpPr/>
        </xdr:nvSpPr>
        <xdr:spPr>
          <a:xfrm>
            <a:off x="8959046" y="3763036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CLT" textlink="">
        <xdr:nvSpPr>
          <xdr:cNvPr id="64" name="Rectangle 63"/>
          <xdr:cNvSpPr/>
        </xdr:nvSpPr>
        <xdr:spPr>
          <a:xfrm>
            <a:off x="8959044" y="3954722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YOCD" textlink="">
        <xdr:nvSpPr>
          <xdr:cNvPr id="65" name="Rectangle 64"/>
          <xdr:cNvSpPr/>
        </xdr:nvSpPr>
        <xdr:spPr>
          <a:xfrm>
            <a:off x="8966198" y="4976928"/>
            <a:ext cx="412433" cy="154129"/>
          </a:xfrm>
          <a:prstGeom prst="rect">
            <a:avLst/>
          </a:prstGeom>
          <a:solidFill>
            <a:schemeClr val="bg1">
              <a:alpha val="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5583534" y="6864697"/>
            <a:ext cx="1963615" cy="220227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400" b="1"/>
              <a:t>BÁNH</a:t>
            </a:r>
            <a:r>
              <a:rPr lang="en-US" sz="1400" b="1" baseline="0"/>
              <a:t> TRÁNG MUỐI</a:t>
            </a:r>
            <a:endParaRPr lang="en-US" sz="14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182880</xdr:colOff>
          <xdr:row>12</xdr:row>
          <xdr:rowOff>38100</xdr:rowOff>
        </xdr:from>
        <xdr:to>
          <xdr:col>4</xdr:col>
          <xdr:colOff>350520</xdr:colOff>
          <xdr:row>12</xdr:row>
          <xdr:rowOff>160020</xdr:rowOff>
        </xdr:to>
        <xdr:sp macro="" textlink="">
          <xdr:nvSpPr>
            <xdr:cNvPr id="4126" name="tru6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13</xdr:row>
          <xdr:rowOff>45720</xdr:rowOff>
        </xdr:from>
        <xdr:to>
          <xdr:col>4</xdr:col>
          <xdr:colOff>350520</xdr:colOff>
          <xdr:row>13</xdr:row>
          <xdr:rowOff>167640</xdr:rowOff>
        </xdr:to>
        <xdr:sp macro="" textlink="">
          <xdr:nvSpPr>
            <xdr:cNvPr id="4127" name="tru7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14</xdr:row>
          <xdr:rowOff>45720</xdr:rowOff>
        </xdr:from>
        <xdr:to>
          <xdr:col>4</xdr:col>
          <xdr:colOff>350520</xdr:colOff>
          <xdr:row>14</xdr:row>
          <xdr:rowOff>167640</xdr:rowOff>
        </xdr:to>
        <xdr:sp macro="" textlink="">
          <xdr:nvSpPr>
            <xdr:cNvPr id="4128" name="tru8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15</xdr:row>
          <xdr:rowOff>45720</xdr:rowOff>
        </xdr:from>
        <xdr:to>
          <xdr:col>4</xdr:col>
          <xdr:colOff>350520</xdr:colOff>
          <xdr:row>15</xdr:row>
          <xdr:rowOff>167640</xdr:rowOff>
        </xdr:to>
        <xdr:sp macro="" textlink="">
          <xdr:nvSpPr>
            <xdr:cNvPr id="4129" name="tru9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16</xdr:row>
          <xdr:rowOff>53340</xdr:rowOff>
        </xdr:from>
        <xdr:to>
          <xdr:col>4</xdr:col>
          <xdr:colOff>350520</xdr:colOff>
          <xdr:row>16</xdr:row>
          <xdr:rowOff>167640</xdr:rowOff>
        </xdr:to>
        <xdr:sp macro="" textlink="">
          <xdr:nvSpPr>
            <xdr:cNvPr id="4130" name="tru10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12</xdr:row>
          <xdr:rowOff>22860</xdr:rowOff>
        </xdr:from>
        <xdr:to>
          <xdr:col>4</xdr:col>
          <xdr:colOff>548640</xdr:colOff>
          <xdr:row>12</xdr:row>
          <xdr:rowOff>175260</xdr:rowOff>
        </xdr:to>
        <xdr:sp macro="" textlink="">
          <xdr:nvSpPr>
            <xdr:cNvPr id="4131" name="sl6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13</xdr:row>
          <xdr:rowOff>22860</xdr:rowOff>
        </xdr:from>
        <xdr:to>
          <xdr:col>4</xdr:col>
          <xdr:colOff>548640</xdr:colOff>
          <xdr:row>14</xdr:row>
          <xdr:rowOff>0</xdr:rowOff>
        </xdr:to>
        <xdr:sp macro="" textlink="">
          <xdr:nvSpPr>
            <xdr:cNvPr id="4132" name="sl7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14</xdr:row>
          <xdr:rowOff>22860</xdr:rowOff>
        </xdr:from>
        <xdr:to>
          <xdr:col>4</xdr:col>
          <xdr:colOff>548640</xdr:colOff>
          <xdr:row>14</xdr:row>
          <xdr:rowOff>175260</xdr:rowOff>
        </xdr:to>
        <xdr:sp macro="" textlink="">
          <xdr:nvSpPr>
            <xdr:cNvPr id="4133" name="sl8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15</xdr:row>
          <xdr:rowOff>22860</xdr:rowOff>
        </xdr:from>
        <xdr:to>
          <xdr:col>4</xdr:col>
          <xdr:colOff>548640</xdr:colOff>
          <xdr:row>15</xdr:row>
          <xdr:rowOff>175260</xdr:rowOff>
        </xdr:to>
        <xdr:sp macro="" textlink="">
          <xdr:nvSpPr>
            <xdr:cNvPr id="4134" name="sl9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396240</xdr:colOff>
          <xdr:row>16</xdr:row>
          <xdr:rowOff>15240</xdr:rowOff>
        </xdr:from>
        <xdr:to>
          <xdr:col>4</xdr:col>
          <xdr:colOff>541020</xdr:colOff>
          <xdr:row>16</xdr:row>
          <xdr:rowOff>175260</xdr:rowOff>
        </xdr:to>
        <xdr:sp macro="" textlink="">
          <xdr:nvSpPr>
            <xdr:cNvPr id="4135" name="sl10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556260</xdr:colOff>
      <xdr:row>26</xdr:row>
      <xdr:rowOff>91440</xdr:rowOff>
    </xdr:from>
    <xdr:to>
      <xdr:col>19</xdr:col>
      <xdr:colOff>489999</xdr:colOff>
      <xdr:row>48</xdr:row>
      <xdr:rowOff>156376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825" t="15086" r="24098" b="44269"/>
        <a:stretch/>
      </xdr:blipFill>
      <xdr:spPr>
        <a:xfrm>
          <a:off x="10614660" y="4663440"/>
          <a:ext cx="2372139" cy="408829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2:G32" totalsRowShown="0" headerRowDxfId="10" headerRowBorderDxfId="9" tableBorderDxfId="8" totalsRowBorderDxfId="7">
  <autoFilter ref="A2:G32"/>
  <tableColumns count="7">
    <tableColumn id="1" name="STT" dataDxfId="6"/>
    <tableColumn id="2" name="TÊN" dataDxfId="5"/>
    <tableColumn id="3" name="GIÁ NHẬP" dataDxfId="4" dataCellStyle="Comma"/>
    <tableColumn id="4" name="SỐ LƯỢNG" dataDxfId="3"/>
    <tableColumn id="5" name="ĐƠN VỊ" dataDxfId="2"/>
    <tableColumn id="6" name="GIÁ ĐƠN VỊ" dataDxfId="1"/>
    <tableColumn id="7" name="GHI CH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2.xml"/><Relationship Id="rId26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5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1.xml"/><Relationship Id="rId25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0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trlProp" Target="../ctrlProps/ctrlProp8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23" Type="http://schemas.openxmlformats.org/officeDocument/2006/relationships/ctrlProp" Target="../ctrlProps/ctrlProp7.xml"/><Relationship Id="rId10" Type="http://schemas.openxmlformats.org/officeDocument/2006/relationships/image" Target="../media/image3.emf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0"/>
  <sheetViews>
    <sheetView zoomScaleNormal="100" workbookViewId="0">
      <pane xSplit="1" ySplit="2" topLeftCell="B3" activePane="bottomRight" state="frozen"/>
      <selection activeCell="B27" sqref="B27"/>
      <selection pane="topRight" activeCell="B27" sqref="B27"/>
      <selection pane="bottomLeft" activeCell="B27" sqref="B27"/>
      <selection pane="bottomRight" activeCell="B27" sqref="B27"/>
    </sheetView>
  </sheetViews>
  <sheetFormatPr defaultRowHeight="14.4"/>
  <cols>
    <col min="1" max="1" width="22.21875" bestFit="1" customWidth="1"/>
    <col min="2" max="2" width="12" bestFit="1" customWidth="1"/>
    <col min="3" max="3" width="20.21875" bestFit="1" customWidth="1"/>
    <col min="4" max="4" width="17.44140625" bestFit="1" customWidth="1"/>
    <col min="5" max="5" width="16.88671875" bestFit="1" customWidth="1"/>
    <col min="10" max="10" width="17.6640625" bestFit="1" customWidth="1"/>
    <col min="11" max="11" width="12.5546875" bestFit="1" customWidth="1"/>
    <col min="12" max="12" width="9.109375" bestFit="1" customWidth="1"/>
    <col min="14" max="14" width="11.21875" customWidth="1"/>
    <col min="15" max="15" width="9.88671875" customWidth="1"/>
    <col min="16" max="16" width="16.109375" bestFit="1" customWidth="1"/>
  </cols>
  <sheetData>
    <row r="1" spans="1:16" ht="48.6" customHeight="1" thickBot="1"/>
    <row r="2" spans="1:16" ht="31.8" customHeight="1" thickBot="1">
      <c r="A2" s="33" t="s">
        <v>5</v>
      </c>
      <c r="B2" s="77" t="s">
        <v>8</v>
      </c>
      <c r="C2" s="78"/>
      <c r="D2" s="78"/>
      <c r="E2" s="78"/>
      <c r="F2" s="78"/>
      <c r="G2" s="78"/>
      <c r="H2" s="78"/>
      <c r="I2" s="78"/>
      <c r="J2" s="78"/>
      <c r="K2" s="78"/>
      <c r="L2" s="5" t="s">
        <v>37</v>
      </c>
      <c r="M2" s="6" t="s">
        <v>38</v>
      </c>
      <c r="N2" s="6" t="s">
        <v>40</v>
      </c>
      <c r="O2" s="6" t="s">
        <v>39</v>
      </c>
      <c r="P2" s="4" t="s">
        <v>43</v>
      </c>
    </row>
    <row r="3" spans="1:16">
      <c r="A3" s="72" t="s">
        <v>52</v>
      </c>
      <c r="B3" s="7" t="s">
        <v>16</v>
      </c>
      <c r="C3" s="7" t="s">
        <v>17</v>
      </c>
      <c r="D3" s="7" t="s">
        <v>18</v>
      </c>
      <c r="E3" s="7" t="s">
        <v>19</v>
      </c>
      <c r="F3" s="7" t="s">
        <v>42</v>
      </c>
      <c r="G3" s="7"/>
      <c r="H3" s="7"/>
      <c r="I3" s="7"/>
      <c r="J3" s="7" t="s">
        <v>72</v>
      </c>
      <c r="K3" s="7" t="s">
        <v>22</v>
      </c>
      <c r="L3" s="81">
        <f>SUM(B5:K5)</f>
        <v>7368.9923076923087</v>
      </c>
      <c r="M3" s="81">
        <f>L3*0.75</f>
        <v>5526.7442307692318</v>
      </c>
      <c r="N3" s="83">
        <v>23000</v>
      </c>
      <c r="O3" s="83">
        <v>28000</v>
      </c>
      <c r="P3" s="85">
        <f>AVERAGEA(L3/N3,M3/O3)</f>
        <v>0.25888734621356907</v>
      </c>
    </row>
    <row r="4" spans="1:16">
      <c r="A4" s="73"/>
      <c r="B4" s="8">
        <v>24.9</v>
      </c>
      <c r="C4" s="8">
        <v>16.600000000000001</v>
      </c>
      <c r="D4" s="8">
        <v>43.16</v>
      </c>
      <c r="E4" s="8">
        <v>13.34</v>
      </c>
      <c r="F4" s="8">
        <v>200</v>
      </c>
      <c r="G4" s="8"/>
      <c r="H4" s="8"/>
      <c r="I4" s="8"/>
      <c r="J4" s="8">
        <v>1</v>
      </c>
      <c r="K4" s="8">
        <v>1</v>
      </c>
      <c r="L4" s="82"/>
      <c r="M4" s="82"/>
      <c r="N4" s="84"/>
      <c r="O4" s="84"/>
      <c r="P4" s="86"/>
    </row>
    <row r="5" spans="1:16">
      <c r="A5" s="73"/>
      <c r="B5" s="8">
        <f>IF(B$3="","",B4*VLOOKUP(B$3,Table1[[#All],[TÊN]:[GIÁ ĐƠN VỊ]],5,0))</f>
        <v>572.69999999999993</v>
      </c>
      <c r="C5" s="8">
        <f>IF(C$3="","",C4*VLOOKUP(C$3,Table1[[#All],[TÊN]:[GIÁ ĐƠN VỊ]],5,0))</f>
        <v>611.85897435897436</v>
      </c>
      <c r="D5" s="8">
        <f>IF(D$3="","",D4*VLOOKUP(D$3,Table1[[#All],[TÊN]:[GIÁ ĐƠN VỊ]],5,0))</f>
        <v>3452.7999999999997</v>
      </c>
      <c r="E5" s="8">
        <f>IF(E$3="","",E4*VLOOKUP(E$3,Table1[[#All],[TÊN]:[GIÁ ĐƠN VỊ]],5,0))</f>
        <v>1934.3</v>
      </c>
      <c r="F5" s="8">
        <f>IF(F$3="","",F4*VLOOKUP(F$3,Table1[[#All],[TÊN]:[GIÁ ĐƠN VỊ]],5,0))</f>
        <v>240</v>
      </c>
      <c r="G5" s="8"/>
      <c r="H5" s="8" t="str">
        <f>IF(H$3="","",H4*VLOOKUP(H$3,Table1[[#All],[TÊN]:[GIÁ ĐƠN VỊ]],5,0))</f>
        <v/>
      </c>
      <c r="I5" s="8" t="str">
        <f>IF(I$3="","",I4*VLOOKUP(I$3,Table1[[#All],[TÊN]:[GIÁ ĐƠN VỊ]],5,0))</f>
        <v/>
      </c>
      <c r="J5" s="8">
        <f>IF(J$3="","",J4*VLOOKUP(J$3,Table1[[#All],[TÊN]:[GIÁ ĐƠN VỊ]],5,0))</f>
        <v>490.66666666666669</v>
      </c>
      <c r="K5" s="8">
        <f>IF(K$3="","",K4*VLOOKUP(K$3,Table1[[#All],[TÊN]:[GIÁ ĐƠN VỊ]],5,0))</f>
        <v>66.666666666666671</v>
      </c>
      <c r="L5" s="82"/>
      <c r="M5" s="82"/>
      <c r="N5" s="84"/>
      <c r="O5" s="84"/>
      <c r="P5" s="86"/>
    </row>
    <row r="6" spans="1:16">
      <c r="A6" s="74" t="s">
        <v>53</v>
      </c>
      <c r="B6" s="22" t="s">
        <v>16</v>
      </c>
      <c r="C6" s="22" t="s">
        <v>17</v>
      </c>
      <c r="D6" s="22" t="s">
        <v>18</v>
      </c>
      <c r="E6" s="22"/>
      <c r="F6" s="22"/>
      <c r="G6" s="22"/>
      <c r="H6" s="22"/>
      <c r="I6" s="22"/>
      <c r="J6" s="22" t="s">
        <v>23</v>
      </c>
      <c r="K6" s="22" t="s">
        <v>22</v>
      </c>
      <c r="L6" s="87"/>
      <c r="M6" s="88"/>
      <c r="N6" s="83">
        <v>23000</v>
      </c>
      <c r="O6" s="83">
        <v>28000</v>
      </c>
      <c r="P6" s="88"/>
    </row>
    <row r="7" spans="1:16">
      <c r="A7" s="75"/>
      <c r="B7" s="10"/>
      <c r="C7" s="10"/>
      <c r="D7" s="10"/>
      <c r="E7" s="10"/>
      <c r="F7" s="10"/>
      <c r="G7" s="10"/>
      <c r="H7" s="10"/>
      <c r="I7" s="10"/>
      <c r="J7" s="10"/>
      <c r="K7" s="10"/>
      <c r="L7" s="87"/>
      <c r="M7" s="88"/>
      <c r="N7" s="84"/>
      <c r="O7" s="84"/>
      <c r="P7" s="88"/>
    </row>
    <row r="8" spans="1:16">
      <c r="A8" s="76"/>
      <c r="B8" s="10"/>
      <c r="C8" s="10"/>
      <c r="D8" s="10"/>
      <c r="E8" s="10"/>
      <c r="F8" s="10"/>
      <c r="G8" s="10"/>
      <c r="H8" s="10"/>
      <c r="I8" s="10"/>
      <c r="J8" s="10"/>
      <c r="K8" s="10"/>
      <c r="L8" s="87"/>
      <c r="M8" s="88"/>
      <c r="N8" s="84"/>
      <c r="O8" s="84"/>
      <c r="P8" s="88"/>
    </row>
    <row r="9" spans="1:16">
      <c r="A9" s="79" t="s">
        <v>54</v>
      </c>
      <c r="B9" s="7"/>
      <c r="C9" s="7"/>
      <c r="D9" s="7"/>
      <c r="E9" s="7"/>
      <c r="F9" s="7"/>
      <c r="G9" s="7"/>
      <c r="H9" s="7"/>
      <c r="I9" s="7"/>
      <c r="J9" s="7"/>
      <c r="K9" s="7"/>
      <c r="L9" s="87"/>
      <c r="M9" s="88"/>
      <c r="N9" s="83">
        <v>24000</v>
      </c>
      <c r="O9" s="83">
        <v>29000</v>
      </c>
      <c r="P9" s="88"/>
    </row>
    <row r="10" spans="1:16">
      <c r="A10" s="80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87"/>
      <c r="M10" s="88"/>
      <c r="N10" s="84"/>
      <c r="O10" s="84"/>
      <c r="P10" s="88"/>
    </row>
    <row r="11" spans="1:16">
      <c r="A11" s="72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87"/>
      <c r="M11" s="88"/>
      <c r="N11" s="84"/>
      <c r="O11" s="84"/>
      <c r="P11" s="88"/>
    </row>
    <row r="12" spans="1:16">
      <c r="A12" s="74" t="s">
        <v>55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87"/>
      <c r="M12" s="88"/>
      <c r="N12" s="83"/>
      <c r="O12" s="83">
        <v>35000</v>
      </c>
      <c r="P12" s="88"/>
    </row>
    <row r="13" spans="1:16">
      <c r="A13" s="75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87"/>
      <c r="M13" s="88"/>
      <c r="N13" s="84"/>
      <c r="O13" s="84"/>
      <c r="P13" s="88"/>
    </row>
    <row r="14" spans="1:16">
      <c r="A14" s="76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87"/>
      <c r="M14" s="88"/>
      <c r="N14" s="84"/>
      <c r="O14" s="84"/>
      <c r="P14" s="88"/>
    </row>
    <row r="15" spans="1:16">
      <c r="A15" s="72" t="s">
        <v>56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87"/>
      <c r="M15" s="88"/>
      <c r="N15" s="83"/>
      <c r="O15" s="83">
        <v>36000</v>
      </c>
      <c r="P15" s="88"/>
    </row>
    <row r="16" spans="1:16">
      <c r="A16" s="73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87"/>
      <c r="M16" s="88"/>
      <c r="N16" s="84"/>
      <c r="O16" s="84"/>
      <c r="P16" s="88"/>
    </row>
    <row r="17" spans="1:16">
      <c r="A17" s="73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87"/>
      <c r="M17" s="88"/>
      <c r="N17" s="84"/>
      <c r="O17" s="84"/>
      <c r="P17" s="88"/>
    </row>
    <row r="18" spans="1:16">
      <c r="A18" s="74" t="s">
        <v>57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87"/>
      <c r="M18" s="88"/>
      <c r="N18" s="83"/>
      <c r="O18" s="83">
        <v>36000</v>
      </c>
      <c r="P18" s="88"/>
    </row>
    <row r="19" spans="1:16">
      <c r="A19" s="75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87"/>
      <c r="M19" s="88"/>
      <c r="N19" s="84"/>
      <c r="O19" s="84"/>
      <c r="P19" s="88"/>
    </row>
    <row r="20" spans="1:16">
      <c r="A20" s="76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87"/>
      <c r="M20" s="88"/>
      <c r="N20" s="84"/>
      <c r="O20" s="84"/>
      <c r="P20" s="88"/>
    </row>
    <row r="21" spans="1:16">
      <c r="A21" s="72" t="s">
        <v>58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87"/>
      <c r="M21" s="88"/>
      <c r="N21" s="83"/>
      <c r="O21" s="83">
        <v>30000</v>
      </c>
      <c r="P21" s="88"/>
    </row>
    <row r="22" spans="1:16">
      <c r="A22" s="73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87"/>
      <c r="M22" s="88"/>
      <c r="N22" s="84"/>
      <c r="O22" s="84"/>
      <c r="P22" s="88"/>
    </row>
    <row r="23" spans="1:16">
      <c r="A23" s="73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87"/>
      <c r="M23" s="88"/>
      <c r="N23" s="84"/>
      <c r="O23" s="84"/>
      <c r="P23" s="88"/>
    </row>
    <row r="24" spans="1:16">
      <c r="A24" s="74" t="s">
        <v>59</v>
      </c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87"/>
      <c r="M24" s="88"/>
      <c r="N24" s="83"/>
      <c r="O24" s="83">
        <v>25000</v>
      </c>
      <c r="P24" s="88"/>
    </row>
    <row r="25" spans="1:16">
      <c r="A25" s="75"/>
      <c r="B25" s="9"/>
      <c r="C25" s="9"/>
      <c r="D25" s="9"/>
      <c r="E25" s="9"/>
      <c r="F25" s="9"/>
      <c r="G25" s="9"/>
      <c r="H25" s="9"/>
      <c r="I25" s="9"/>
      <c r="J25" s="9"/>
      <c r="K25" s="9"/>
      <c r="L25" s="87"/>
      <c r="M25" s="88"/>
      <c r="N25" s="84"/>
      <c r="O25" s="84"/>
      <c r="P25" s="88"/>
    </row>
    <row r="26" spans="1:16">
      <c r="A26" s="76"/>
      <c r="B26" s="9"/>
      <c r="C26" s="9"/>
      <c r="D26" s="9"/>
      <c r="E26" s="9"/>
      <c r="F26" s="9"/>
      <c r="G26" s="9"/>
      <c r="H26" s="9"/>
      <c r="I26" s="9"/>
      <c r="J26" s="9"/>
      <c r="K26" s="9"/>
      <c r="L26" s="87"/>
      <c r="M26" s="88"/>
      <c r="N26" s="84"/>
      <c r="O26" s="84"/>
      <c r="P26" s="88"/>
    </row>
    <row r="27" spans="1:16">
      <c r="A27" s="72" t="s">
        <v>75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87"/>
      <c r="M27" s="88"/>
      <c r="N27" s="83"/>
      <c r="O27" s="83">
        <v>32000</v>
      </c>
      <c r="P27" s="88"/>
    </row>
    <row r="28" spans="1:16">
      <c r="A28" s="73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87"/>
      <c r="M28" s="88"/>
      <c r="N28" s="84"/>
      <c r="O28" s="84"/>
      <c r="P28" s="88"/>
    </row>
    <row r="29" spans="1:16">
      <c r="A29" s="73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87"/>
      <c r="M29" s="88"/>
      <c r="N29" s="84"/>
      <c r="O29" s="84"/>
      <c r="P29" s="88"/>
    </row>
    <row r="30" spans="1:16">
      <c r="A30" s="74" t="s">
        <v>60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87"/>
      <c r="M30" s="88"/>
      <c r="N30" s="83"/>
      <c r="O30" s="83">
        <v>32000</v>
      </c>
      <c r="P30" s="88"/>
    </row>
    <row r="31" spans="1:16">
      <c r="A31" s="75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87"/>
      <c r="M31" s="88"/>
      <c r="N31" s="84"/>
      <c r="O31" s="84"/>
      <c r="P31" s="88"/>
    </row>
    <row r="32" spans="1:16">
      <c r="A32" s="76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87"/>
      <c r="M32" s="88"/>
      <c r="N32" s="84"/>
      <c r="O32" s="84"/>
      <c r="P32" s="88"/>
    </row>
    <row r="33" spans="1:17">
      <c r="A33" s="73" t="s">
        <v>61</v>
      </c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88"/>
      <c r="M33" s="88"/>
      <c r="N33" s="83"/>
      <c r="O33" s="83">
        <v>28000</v>
      </c>
      <c r="P33" s="88"/>
    </row>
    <row r="34" spans="1:17">
      <c r="A34" s="73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88"/>
      <c r="M34" s="88"/>
      <c r="N34" s="84"/>
      <c r="O34" s="84"/>
      <c r="P34" s="88"/>
    </row>
    <row r="35" spans="1:17">
      <c r="A35" s="73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88"/>
      <c r="M35" s="88"/>
      <c r="N35" s="84"/>
      <c r="O35" s="84"/>
      <c r="P35" s="88"/>
    </row>
    <row r="36" spans="1:17">
      <c r="A36" s="74" t="s">
        <v>62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87"/>
      <c r="M36" s="88"/>
      <c r="N36" s="83"/>
      <c r="O36" s="83">
        <v>25000</v>
      </c>
      <c r="P36" s="88"/>
    </row>
    <row r="37" spans="1:17">
      <c r="A37" s="75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87"/>
      <c r="M37" s="88"/>
      <c r="N37" s="84"/>
      <c r="O37" s="84"/>
      <c r="P37" s="88"/>
    </row>
    <row r="38" spans="1:17">
      <c r="A38" s="76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87"/>
      <c r="M38" s="88"/>
      <c r="N38" s="84"/>
      <c r="O38" s="84"/>
      <c r="P38" s="88"/>
    </row>
    <row r="39" spans="1:17" ht="33" customHeight="1">
      <c r="A39" s="32" t="s">
        <v>48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9"/>
      <c r="M39" s="29"/>
      <c r="N39" s="29"/>
      <c r="O39" s="29"/>
      <c r="P39" s="29"/>
    </row>
    <row r="40" spans="1:17">
      <c r="A40" s="89" t="s">
        <v>63</v>
      </c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88"/>
      <c r="M40" s="88"/>
      <c r="N40" s="83"/>
      <c r="O40" s="83">
        <v>6000</v>
      </c>
      <c r="P40" s="88"/>
    </row>
    <row r="41" spans="1:17">
      <c r="A41" s="89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88"/>
      <c r="M41" s="88"/>
      <c r="N41" s="84"/>
      <c r="O41" s="84"/>
      <c r="P41" s="88"/>
    </row>
    <row r="42" spans="1:17">
      <c r="A42" s="89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88"/>
      <c r="M42" s="88"/>
      <c r="N42" s="84"/>
      <c r="O42" s="84"/>
      <c r="P42" s="88"/>
    </row>
    <row r="43" spans="1:17">
      <c r="A43" s="72" t="s">
        <v>64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87"/>
      <c r="M43" s="88"/>
      <c r="N43" s="83"/>
      <c r="O43" s="83">
        <v>6000</v>
      </c>
      <c r="P43" s="88"/>
    </row>
    <row r="44" spans="1:17">
      <c r="A44" s="73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87"/>
      <c r="M44" s="88"/>
      <c r="N44" s="84"/>
      <c r="O44" s="84"/>
      <c r="P44" s="88"/>
    </row>
    <row r="45" spans="1:17">
      <c r="A45" s="73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87"/>
      <c r="M45" s="88"/>
      <c r="N45" s="84"/>
      <c r="O45" s="84"/>
      <c r="P45" s="88"/>
    </row>
    <row r="46" spans="1:17">
      <c r="A46" s="74" t="s">
        <v>65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87"/>
      <c r="M46" s="88"/>
      <c r="N46" s="83"/>
      <c r="O46" s="83">
        <v>7000</v>
      </c>
      <c r="P46" s="88"/>
    </row>
    <row r="47" spans="1:17">
      <c r="A47" s="75" t="s">
        <v>6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87"/>
      <c r="M47" s="88"/>
      <c r="N47" s="84"/>
      <c r="O47" s="84"/>
      <c r="P47" s="88"/>
      <c r="Q47" s="2"/>
    </row>
    <row r="48" spans="1:17">
      <c r="A48" s="76" t="s">
        <v>7</v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87"/>
      <c r="M48" s="88"/>
      <c r="N48" s="84"/>
      <c r="O48" s="84"/>
      <c r="P48" s="88"/>
    </row>
    <row r="49" spans="1:17">
      <c r="A49" s="72" t="s">
        <v>66</v>
      </c>
      <c r="B49" s="7"/>
      <c r="C49" s="7"/>
      <c r="D49" s="7"/>
      <c r="E49" s="7"/>
      <c r="F49" s="7"/>
      <c r="G49" s="7"/>
      <c r="H49" s="7"/>
      <c r="I49" s="7"/>
      <c r="J49" s="7"/>
      <c r="K49" s="7"/>
      <c r="L49" s="88"/>
      <c r="M49" s="88"/>
      <c r="N49" s="83"/>
      <c r="O49" s="83">
        <v>6000</v>
      </c>
      <c r="P49" s="88"/>
    </row>
    <row r="50" spans="1:17">
      <c r="A50" s="73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88"/>
      <c r="M50" s="88"/>
      <c r="N50" s="84"/>
      <c r="O50" s="84"/>
      <c r="P50" s="88"/>
    </row>
    <row r="51" spans="1:17">
      <c r="A51" s="73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88"/>
      <c r="M51" s="88"/>
      <c r="N51" s="84"/>
      <c r="O51" s="84"/>
      <c r="P51" s="88"/>
    </row>
    <row r="52" spans="1:17">
      <c r="A52" s="72" t="s">
        <v>67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87"/>
      <c r="M52" s="88"/>
      <c r="N52" s="83"/>
      <c r="O52" s="83">
        <v>6000</v>
      </c>
      <c r="P52" s="88"/>
    </row>
    <row r="53" spans="1:17">
      <c r="A53" s="73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87"/>
      <c r="M53" s="88"/>
      <c r="N53" s="84"/>
      <c r="O53" s="84"/>
      <c r="P53" s="88"/>
    </row>
    <row r="54" spans="1:17">
      <c r="A54" s="73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87"/>
      <c r="M54" s="88"/>
      <c r="N54" s="84"/>
      <c r="O54" s="84"/>
      <c r="P54" s="88"/>
    </row>
    <row r="55" spans="1:17">
      <c r="A55" s="74" t="s">
        <v>68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87"/>
      <c r="M55" s="88"/>
      <c r="N55" s="83"/>
      <c r="O55" s="83">
        <v>6000</v>
      </c>
      <c r="P55" s="88"/>
    </row>
    <row r="56" spans="1:17">
      <c r="A56" s="75" t="s">
        <v>6</v>
      </c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87"/>
      <c r="M56" s="88"/>
      <c r="N56" s="84"/>
      <c r="O56" s="84"/>
      <c r="P56" s="88"/>
      <c r="Q56" s="2"/>
    </row>
    <row r="57" spans="1:17">
      <c r="A57" s="76" t="s">
        <v>7</v>
      </c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87"/>
      <c r="M57" s="88"/>
      <c r="N57" s="84"/>
      <c r="O57" s="84"/>
      <c r="P57" s="88"/>
    </row>
    <row r="58" spans="1:17">
      <c r="A58" s="72" t="s">
        <v>69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88"/>
      <c r="M58" s="88"/>
      <c r="N58" s="83"/>
      <c r="O58" s="83">
        <v>7000</v>
      </c>
      <c r="P58" s="88"/>
    </row>
    <row r="59" spans="1:17">
      <c r="A59" s="73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88"/>
      <c r="M59" s="88"/>
      <c r="N59" s="84"/>
      <c r="O59" s="84"/>
      <c r="P59" s="88"/>
    </row>
    <row r="60" spans="1:17">
      <c r="A60" s="73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88"/>
      <c r="M60" s="88"/>
      <c r="N60" s="84"/>
      <c r="O60" s="84"/>
      <c r="P60" s="88"/>
    </row>
    <row r="61" spans="1:17" ht="33" customHeight="1">
      <c r="A61" s="32" t="s">
        <v>51</v>
      </c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9"/>
      <c r="M61" s="29"/>
      <c r="N61" s="29"/>
      <c r="O61" s="29"/>
      <c r="P61" s="29"/>
    </row>
    <row r="62" spans="1:17">
      <c r="A62" s="89" t="s">
        <v>91</v>
      </c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88"/>
      <c r="M62" s="88"/>
      <c r="N62" s="83"/>
      <c r="O62" s="83">
        <v>15000</v>
      </c>
      <c r="P62" s="88"/>
    </row>
    <row r="63" spans="1:17">
      <c r="A63" s="89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88"/>
      <c r="M63" s="88"/>
      <c r="N63" s="84"/>
      <c r="O63" s="84"/>
      <c r="P63" s="88"/>
    </row>
    <row r="64" spans="1:17">
      <c r="A64" s="89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88"/>
      <c r="M64" s="88"/>
      <c r="N64" s="84"/>
      <c r="O64" s="84"/>
      <c r="P64" s="88"/>
    </row>
    <row r="65" spans="1:17">
      <c r="A65" s="72" t="s">
        <v>70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87"/>
      <c r="M65" s="88"/>
      <c r="N65" s="83"/>
      <c r="O65" s="83">
        <v>15000</v>
      </c>
      <c r="P65" s="88"/>
    </row>
    <row r="66" spans="1:17">
      <c r="A66" s="73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87"/>
      <c r="M66" s="88"/>
      <c r="N66" s="84"/>
      <c r="O66" s="84"/>
      <c r="P66" s="88"/>
    </row>
    <row r="67" spans="1:17">
      <c r="A67" s="73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87"/>
      <c r="M67" s="88"/>
      <c r="N67" s="84"/>
      <c r="O67" s="84"/>
      <c r="P67" s="88"/>
    </row>
    <row r="68" spans="1:17">
      <c r="A68" s="74" t="s">
        <v>71</v>
      </c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87"/>
      <c r="M68" s="88"/>
      <c r="N68" s="83"/>
      <c r="O68" s="83">
        <v>15000</v>
      </c>
      <c r="P68" s="88"/>
    </row>
    <row r="69" spans="1:17">
      <c r="A69" s="75" t="s">
        <v>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87"/>
      <c r="M69" s="88"/>
      <c r="N69" s="84"/>
      <c r="O69" s="84"/>
      <c r="P69" s="88"/>
      <c r="Q69" s="2"/>
    </row>
    <row r="70" spans="1:17">
      <c r="A70" s="76" t="s">
        <v>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87"/>
      <c r="M70" s="88"/>
      <c r="N70" s="84"/>
      <c r="O70" s="84"/>
      <c r="P70" s="88"/>
    </row>
  </sheetData>
  <mergeCells count="133">
    <mergeCell ref="A49:A51"/>
    <mergeCell ref="L49:L51"/>
    <mergeCell ref="M49:M51"/>
    <mergeCell ref="P65:P67"/>
    <mergeCell ref="A68:A70"/>
    <mergeCell ref="L68:L70"/>
    <mergeCell ref="M68:M70"/>
    <mergeCell ref="N68:N70"/>
    <mergeCell ref="O68:O70"/>
    <mergeCell ref="P68:P70"/>
    <mergeCell ref="A65:A67"/>
    <mergeCell ref="L65:L67"/>
    <mergeCell ref="M65:M67"/>
    <mergeCell ref="N65:N67"/>
    <mergeCell ref="O65:O67"/>
    <mergeCell ref="A62:A64"/>
    <mergeCell ref="L62:L64"/>
    <mergeCell ref="M62:M64"/>
    <mergeCell ref="N62:N64"/>
    <mergeCell ref="O62:O64"/>
    <mergeCell ref="P62:P64"/>
    <mergeCell ref="A55:A57"/>
    <mergeCell ref="A52:A54"/>
    <mergeCell ref="A58:A60"/>
    <mergeCell ref="A46:A48"/>
    <mergeCell ref="L46:L48"/>
    <mergeCell ref="M46:M48"/>
    <mergeCell ref="N46:N48"/>
    <mergeCell ref="O46:O48"/>
    <mergeCell ref="P46:P48"/>
    <mergeCell ref="L36:L38"/>
    <mergeCell ref="M36:M38"/>
    <mergeCell ref="N36:N38"/>
    <mergeCell ref="O36:O38"/>
    <mergeCell ref="P36:P38"/>
    <mergeCell ref="A40:A42"/>
    <mergeCell ref="A43:A45"/>
    <mergeCell ref="L43:L45"/>
    <mergeCell ref="M43:M45"/>
    <mergeCell ref="N43:N45"/>
    <mergeCell ref="O43:O45"/>
    <mergeCell ref="P58:P60"/>
    <mergeCell ref="L40:L42"/>
    <mergeCell ref="O40:O42"/>
    <mergeCell ref="P40:P42"/>
    <mergeCell ref="L52:L54"/>
    <mergeCell ref="O52:O54"/>
    <mergeCell ref="P52:P54"/>
    <mergeCell ref="L55:L57"/>
    <mergeCell ref="O55:O57"/>
    <mergeCell ref="P55:P57"/>
    <mergeCell ref="L58:L60"/>
    <mergeCell ref="N40:N42"/>
    <mergeCell ref="N52:N54"/>
    <mergeCell ref="N55:N57"/>
    <mergeCell ref="N58:N60"/>
    <mergeCell ref="M40:M42"/>
    <mergeCell ref="O58:O60"/>
    <mergeCell ref="M52:M54"/>
    <mergeCell ref="M55:M57"/>
    <mergeCell ref="M58:M60"/>
    <mergeCell ref="P43:P45"/>
    <mergeCell ref="N49:N51"/>
    <mergeCell ref="O49:O51"/>
    <mergeCell ref="P49:P51"/>
    <mergeCell ref="L27:L29"/>
    <mergeCell ref="O27:O29"/>
    <mergeCell ref="P27:P29"/>
    <mergeCell ref="L33:L35"/>
    <mergeCell ref="O33:O35"/>
    <mergeCell ref="P33:P35"/>
    <mergeCell ref="N27:N29"/>
    <mergeCell ref="N33:N35"/>
    <mergeCell ref="M27:M29"/>
    <mergeCell ref="M33:M35"/>
    <mergeCell ref="L30:L32"/>
    <mergeCell ref="M30:M32"/>
    <mergeCell ref="N30:N32"/>
    <mergeCell ref="O30:O32"/>
    <mergeCell ref="P30:P32"/>
    <mergeCell ref="L21:L23"/>
    <mergeCell ref="O21:O23"/>
    <mergeCell ref="P21:P23"/>
    <mergeCell ref="L24:L26"/>
    <mergeCell ref="O24:O26"/>
    <mergeCell ref="P24:P26"/>
    <mergeCell ref="N21:N23"/>
    <mergeCell ref="N24:N26"/>
    <mergeCell ref="M21:M23"/>
    <mergeCell ref="M24:M26"/>
    <mergeCell ref="L15:L17"/>
    <mergeCell ref="O15:O17"/>
    <mergeCell ref="P15:P17"/>
    <mergeCell ref="L18:L20"/>
    <mergeCell ref="O18:O20"/>
    <mergeCell ref="P18:P20"/>
    <mergeCell ref="N15:N17"/>
    <mergeCell ref="N18:N20"/>
    <mergeCell ref="M15:M17"/>
    <mergeCell ref="M18:M20"/>
    <mergeCell ref="L9:L11"/>
    <mergeCell ref="O9:O11"/>
    <mergeCell ref="P9:P11"/>
    <mergeCell ref="L12:L14"/>
    <mergeCell ref="O12:O14"/>
    <mergeCell ref="P12:P14"/>
    <mergeCell ref="N9:N11"/>
    <mergeCell ref="N12:N14"/>
    <mergeCell ref="M9:M11"/>
    <mergeCell ref="M12:M14"/>
    <mergeCell ref="L3:L5"/>
    <mergeCell ref="O3:O5"/>
    <mergeCell ref="P3:P5"/>
    <mergeCell ref="L6:L8"/>
    <mergeCell ref="O6:O8"/>
    <mergeCell ref="P6:P8"/>
    <mergeCell ref="N3:N5"/>
    <mergeCell ref="N6:N8"/>
    <mergeCell ref="M3:M5"/>
    <mergeCell ref="M6:M8"/>
    <mergeCell ref="A27:A29"/>
    <mergeCell ref="A33:A35"/>
    <mergeCell ref="A30:A32"/>
    <mergeCell ref="A36:A38"/>
    <mergeCell ref="B2:K2"/>
    <mergeCell ref="A3:A5"/>
    <mergeCell ref="A6:A8"/>
    <mergeCell ref="A9:A11"/>
    <mergeCell ref="A12:A14"/>
    <mergeCell ref="A15:A17"/>
    <mergeCell ref="A18:A20"/>
    <mergeCell ref="A21:A23"/>
    <mergeCell ref="A24:A26"/>
  </mergeCells>
  <pageMargins left="0.7" right="0.7" top="0.75" bottom="0.75" header="0.3" footer="0.3"/>
  <pageSetup scale="4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>
          <x14:formula1>
            <xm:f>MATERIAL!$B$2:$B$22</xm:f>
          </x14:formula1>
          <xm:sqref>B58:K58</xm:sqref>
        </x14:dataValidation>
        <x14:dataValidation type="list" allowBlank="1" showInputMessage="1" showErrorMessage="1">
          <x14:formula1>
            <xm:f>MATERIAL!$B$2:$B$22</xm:f>
          </x14:formula1>
          <xm:sqref>B36:K36</xm:sqref>
        </x14:dataValidation>
        <x14:dataValidation type="list" allowBlank="1" showInputMessage="1" showErrorMessage="1">
          <x14:formula1>
            <xm:f>MATERIAL!$B$2:$B$22</xm:f>
          </x14:formula1>
          <xm:sqref>B27:K27</xm:sqref>
        </x14:dataValidation>
        <x14:dataValidation type="list" allowBlank="1" showInputMessage="1" showErrorMessage="1">
          <x14:formula1>
            <xm:f>MATERIAL!$B$2:$B$22</xm:f>
          </x14:formula1>
          <xm:sqref>B24:K24</xm:sqref>
        </x14:dataValidation>
        <x14:dataValidation type="list" allowBlank="1" showInputMessage="1" showErrorMessage="1">
          <x14:formula1>
            <xm:f>MATERIAL!$B$2:$B$22</xm:f>
          </x14:formula1>
          <xm:sqref>B21:K21</xm:sqref>
        </x14:dataValidation>
        <x14:dataValidation type="list" allowBlank="1" showInputMessage="1" showErrorMessage="1">
          <x14:formula1>
            <xm:f>MATERIAL!$B$2:$B$22</xm:f>
          </x14:formula1>
          <xm:sqref>B18:K18</xm:sqref>
        </x14:dataValidation>
        <x14:dataValidation type="list" allowBlank="1" showInputMessage="1" showErrorMessage="1">
          <x14:formula1>
            <xm:f>MATERIAL!$B$2:$B$22</xm:f>
          </x14:formula1>
          <xm:sqref>B15:K15</xm:sqref>
        </x14:dataValidation>
        <x14:dataValidation type="list" allowBlank="1" showInputMessage="1" showErrorMessage="1">
          <x14:formula1>
            <xm:f>MATERIAL!$B$2:$B$22</xm:f>
          </x14:formula1>
          <xm:sqref>B12:K12</xm:sqref>
        </x14:dataValidation>
        <x14:dataValidation type="list" allowBlank="1" showInputMessage="1" showErrorMessage="1">
          <x14:formula1>
            <xm:f>MATERIAL!$B$2:$B$22</xm:f>
          </x14:formula1>
          <xm:sqref>B9:K9</xm:sqref>
        </x14:dataValidation>
        <x14:dataValidation type="list" allowBlank="1" showInputMessage="1" showErrorMessage="1">
          <x14:formula1>
            <xm:f>MATERIAL!$B$2:$B$22</xm:f>
          </x14:formula1>
          <xm:sqref>B6:K6</xm:sqref>
        </x14:dataValidation>
        <x14:dataValidation type="list" allowBlank="1" showInputMessage="1" showErrorMessage="1">
          <x14:formula1>
            <xm:f>MATERIAL!$B$2:$B$22</xm:f>
          </x14:formula1>
          <xm:sqref>B40:K40</xm:sqref>
        </x14:dataValidation>
        <x14:dataValidation type="list" allowBlank="1" showInputMessage="1" showErrorMessage="1">
          <x14:formula1>
            <xm:f>MATERIAL!$B$2:$B$22</xm:f>
          </x14:formula1>
          <xm:sqref>B55:K55</xm:sqref>
        </x14:dataValidation>
        <x14:dataValidation type="list" allowBlank="1" showInputMessage="1" showErrorMessage="1">
          <x14:formula1>
            <xm:f>MATERIAL!$B$2:$B$22</xm:f>
          </x14:formula1>
          <xm:sqref>B52:K52</xm:sqref>
        </x14:dataValidation>
        <x14:dataValidation type="list" allowBlank="1" showInputMessage="1" showErrorMessage="1">
          <x14:formula1>
            <xm:f>MATERIAL!$B$2:$B$22</xm:f>
          </x14:formula1>
          <xm:sqref>B30:K30</xm:sqref>
        </x14:dataValidation>
        <x14:dataValidation type="list" allowBlank="1" showInputMessage="1" showErrorMessage="1">
          <x14:formula1>
            <xm:f>MATERIAL!$B$2:$B$22</xm:f>
          </x14:formula1>
          <xm:sqref>B33:K33</xm:sqref>
        </x14:dataValidation>
        <x14:dataValidation type="list" allowBlank="1" showInputMessage="1" showErrorMessage="1">
          <x14:formula1>
            <xm:f>MATERIAL!$B$2:$B$22</xm:f>
          </x14:formula1>
          <xm:sqref>B49:K49</xm:sqref>
        </x14:dataValidation>
        <x14:dataValidation type="list" allowBlank="1" showInputMessage="1" showErrorMessage="1">
          <x14:formula1>
            <xm:f>MATERIAL!$B$2:$B$22</xm:f>
          </x14:formula1>
          <xm:sqref>B46:K46</xm:sqref>
        </x14:dataValidation>
        <x14:dataValidation type="list" allowBlank="1" showInputMessage="1" showErrorMessage="1">
          <x14:formula1>
            <xm:f>MATERIAL!$B$2:$B$22</xm:f>
          </x14:formula1>
          <xm:sqref>B43:K43</xm:sqref>
        </x14:dataValidation>
        <x14:dataValidation type="list" allowBlank="1" showInputMessage="1" showErrorMessage="1">
          <x14:formula1>
            <xm:f>MATERIAL!$B$2:$B$22</xm:f>
          </x14:formula1>
          <xm:sqref>B62:K62</xm:sqref>
        </x14:dataValidation>
        <x14:dataValidation type="list" allowBlank="1" showInputMessage="1" showErrorMessage="1">
          <x14:formula1>
            <xm:f>MATERIAL!$B$2:$B$22</xm:f>
          </x14:formula1>
          <xm:sqref>B68:K68</xm:sqref>
        </x14:dataValidation>
        <x14:dataValidation type="list" allowBlank="1" showInputMessage="1" showErrorMessage="1">
          <x14:formula1>
            <xm:f>MATERIAL!$B$2:$B$22</xm:f>
          </x14:formula1>
          <xm:sqref>B65:K65</xm:sqref>
        </x14:dataValidation>
        <x14:dataValidation type="list" allowBlank="1" showInputMessage="1" showErrorMessage="1">
          <x14:formula1>
            <xm:f>MATERIAL!$B$2:$B$27</xm:f>
          </x14:formula1>
          <xm:sqref>B3:K3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2"/>
  <sheetViews>
    <sheetView workbookViewId="0">
      <selection activeCell="B27" sqref="B27"/>
    </sheetView>
  </sheetViews>
  <sheetFormatPr defaultRowHeight="14.4"/>
  <cols>
    <col min="1" max="1" width="5.88671875" customWidth="1"/>
    <col min="2" max="2" width="22.44140625" customWidth="1"/>
    <col min="3" max="3" width="13.21875" customWidth="1"/>
    <col min="4" max="4" width="14.33203125" customWidth="1"/>
    <col min="5" max="5" width="9.77734375" customWidth="1"/>
    <col min="6" max="6" width="12.77734375" customWidth="1"/>
    <col min="7" max="7" width="34.44140625" customWidth="1"/>
    <col min="12" max="12" width="12" bestFit="1" customWidth="1"/>
  </cols>
  <sheetData>
    <row r="1" spans="1:7" ht="40.799999999999997" customHeight="1">
      <c r="B1" s="12"/>
    </row>
    <row r="2" spans="1:7">
      <c r="A2" s="13" t="s">
        <v>9</v>
      </c>
      <c r="B2" s="3" t="s">
        <v>10</v>
      </c>
      <c r="C2" s="3" t="s">
        <v>11</v>
      </c>
      <c r="D2" s="3" t="s">
        <v>12</v>
      </c>
      <c r="E2" s="3" t="s">
        <v>13</v>
      </c>
      <c r="F2" s="3" t="s">
        <v>14</v>
      </c>
      <c r="G2" s="14" t="s">
        <v>15</v>
      </c>
    </row>
    <row r="3" spans="1:7">
      <c r="A3" s="15">
        <v>1</v>
      </c>
      <c r="B3" s="1" t="s">
        <v>16</v>
      </c>
      <c r="C3" s="16">
        <v>23000</v>
      </c>
      <c r="D3" s="1">
        <v>1000</v>
      </c>
      <c r="E3" s="1" t="s">
        <v>29</v>
      </c>
      <c r="F3" s="23">
        <f>C3/D3</f>
        <v>23</v>
      </c>
      <c r="G3" s="17"/>
    </row>
    <row r="4" spans="1:7">
      <c r="A4" s="15">
        <v>2</v>
      </c>
      <c r="B4" s="1" t="s">
        <v>17</v>
      </c>
      <c r="C4" s="16">
        <v>46000</v>
      </c>
      <c r="D4" s="1">
        <v>1248</v>
      </c>
      <c r="E4" s="1" t="s">
        <v>29</v>
      </c>
      <c r="F4" s="23">
        <f>C4/D4</f>
        <v>36.858974358974358</v>
      </c>
      <c r="G4" s="17"/>
    </row>
    <row r="5" spans="1:7">
      <c r="A5" s="15">
        <v>3</v>
      </c>
      <c r="B5" s="1" t="s">
        <v>18</v>
      </c>
      <c r="C5" s="16">
        <v>80000</v>
      </c>
      <c r="D5" s="1">
        <v>1000</v>
      </c>
      <c r="E5" s="1" t="s">
        <v>29</v>
      </c>
      <c r="F5" s="23">
        <f t="shared" ref="F5:F23" si="0">C5/D5</f>
        <v>80</v>
      </c>
      <c r="G5" s="17"/>
    </row>
    <row r="6" spans="1:7">
      <c r="A6" s="15">
        <v>4</v>
      </c>
      <c r="B6" s="1" t="s">
        <v>19</v>
      </c>
      <c r="C6" s="16">
        <v>145000</v>
      </c>
      <c r="D6" s="1">
        <v>1000</v>
      </c>
      <c r="E6" s="1" t="s">
        <v>29</v>
      </c>
      <c r="F6" s="23">
        <f t="shared" si="0"/>
        <v>145</v>
      </c>
      <c r="G6" s="17"/>
    </row>
    <row r="7" spans="1:7">
      <c r="A7" s="15">
        <v>5</v>
      </c>
      <c r="B7" s="1" t="s">
        <v>20</v>
      </c>
      <c r="C7" s="16"/>
      <c r="D7" s="1"/>
      <c r="E7" s="1"/>
      <c r="F7" s="23" t="e">
        <f t="shared" si="0"/>
        <v>#DIV/0!</v>
      </c>
      <c r="G7" s="17"/>
    </row>
    <row r="8" spans="1:7">
      <c r="A8" s="15">
        <v>6</v>
      </c>
      <c r="B8" s="1" t="s">
        <v>21</v>
      </c>
      <c r="C8" s="16"/>
      <c r="D8" s="1"/>
      <c r="E8" s="1"/>
      <c r="F8" s="23" t="e">
        <f t="shared" si="0"/>
        <v>#DIV/0!</v>
      </c>
      <c r="G8" s="17"/>
    </row>
    <row r="9" spans="1:7">
      <c r="A9" s="15">
        <v>7</v>
      </c>
      <c r="B9" s="1" t="s">
        <v>24</v>
      </c>
      <c r="C9" s="16"/>
      <c r="D9" s="1"/>
      <c r="E9" s="1"/>
      <c r="F9" s="23" t="e">
        <f t="shared" si="0"/>
        <v>#DIV/0!</v>
      </c>
      <c r="G9" s="17"/>
    </row>
    <row r="10" spans="1:7">
      <c r="A10" s="15">
        <v>8</v>
      </c>
      <c r="B10" s="1" t="s">
        <v>25</v>
      </c>
      <c r="C10" s="16"/>
      <c r="D10" s="1"/>
      <c r="E10" s="1"/>
      <c r="F10" s="23" t="e">
        <f t="shared" si="0"/>
        <v>#DIV/0!</v>
      </c>
      <c r="G10" s="17"/>
    </row>
    <row r="11" spans="1:7">
      <c r="A11" s="15">
        <v>9</v>
      </c>
      <c r="B11" s="1" t="s">
        <v>26</v>
      </c>
      <c r="C11" s="16"/>
      <c r="D11" s="1"/>
      <c r="E11" s="1"/>
      <c r="F11" s="23" t="e">
        <f t="shared" si="0"/>
        <v>#DIV/0!</v>
      </c>
      <c r="G11" s="17"/>
    </row>
    <row r="12" spans="1:7">
      <c r="A12" s="15">
        <v>10</v>
      </c>
      <c r="B12" s="1" t="s">
        <v>27</v>
      </c>
      <c r="C12" s="16"/>
      <c r="D12" s="1"/>
      <c r="E12" s="1"/>
      <c r="F12" s="23" t="e">
        <f t="shared" si="0"/>
        <v>#DIV/0!</v>
      </c>
      <c r="G12" s="17"/>
    </row>
    <row r="13" spans="1:7">
      <c r="A13" s="15">
        <v>11</v>
      </c>
      <c r="B13" s="1" t="s">
        <v>28</v>
      </c>
      <c r="C13" s="16"/>
      <c r="D13" s="1"/>
      <c r="E13" s="1"/>
      <c r="F13" s="23" t="e">
        <f t="shared" si="0"/>
        <v>#DIV/0!</v>
      </c>
      <c r="G13" s="17"/>
    </row>
    <row r="14" spans="1:7">
      <c r="A14" s="15">
        <v>12</v>
      </c>
      <c r="B14" s="1" t="s">
        <v>30</v>
      </c>
      <c r="C14" s="16"/>
      <c r="D14" s="1"/>
      <c r="E14" s="1"/>
      <c r="F14" s="23" t="e">
        <f t="shared" si="0"/>
        <v>#DIV/0!</v>
      </c>
      <c r="G14" s="17"/>
    </row>
    <row r="15" spans="1:7">
      <c r="A15" s="15">
        <v>13</v>
      </c>
      <c r="B15" s="1" t="s">
        <v>31</v>
      </c>
      <c r="C15" s="16"/>
      <c r="D15" s="1"/>
      <c r="E15" s="1"/>
      <c r="F15" s="23" t="e">
        <f t="shared" si="0"/>
        <v>#DIV/0!</v>
      </c>
      <c r="G15" s="17" t="s">
        <v>34</v>
      </c>
    </row>
    <row r="16" spans="1:7">
      <c r="A16" s="15">
        <v>14</v>
      </c>
      <c r="B16" s="1" t="s">
        <v>33</v>
      </c>
      <c r="C16" s="16"/>
      <c r="D16" s="1"/>
      <c r="E16" s="1"/>
      <c r="F16" s="23" t="e">
        <f t="shared" si="0"/>
        <v>#DIV/0!</v>
      </c>
      <c r="G16" s="17" t="s">
        <v>32</v>
      </c>
    </row>
    <row r="17" spans="1:7">
      <c r="A17" s="15">
        <v>16</v>
      </c>
      <c r="B17" s="1" t="s">
        <v>36</v>
      </c>
      <c r="C17" s="16"/>
      <c r="D17" s="1"/>
      <c r="E17" s="1"/>
      <c r="F17" s="23" t="e">
        <f t="shared" si="0"/>
        <v>#DIV/0!</v>
      </c>
      <c r="G17" s="17"/>
    </row>
    <row r="18" spans="1:7">
      <c r="A18" s="15">
        <v>17</v>
      </c>
      <c r="B18" s="1" t="s">
        <v>35</v>
      </c>
      <c r="C18" s="16"/>
      <c r="D18" s="1"/>
      <c r="E18" s="1"/>
      <c r="F18" s="23" t="e">
        <f t="shared" si="0"/>
        <v>#DIV/0!</v>
      </c>
      <c r="G18" s="17"/>
    </row>
    <row r="19" spans="1:7">
      <c r="A19" s="15">
        <v>18</v>
      </c>
      <c r="B19" s="1" t="s">
        <v>73</v>
      </c>
      <c r="C19" s="16">
        <v>1342000</v>
      </c>
      <c r="D19" s="1">
        <v>1000</v>
      </c>
      <c r="E19" s="1" t="s">
        <v>41</v>
      </c>
      <c r="F19" s="23">
        <f t="shared" ref="F19:F20" si="1">C19/D19</f>
        <v>1342</v>
      </c>
      <c r="G19" s="17"/>
    </row>
    <row r="20" spans="1:7">
      <c r="A20" s="15">
        <v>19</v>
      </c>
      <c r="B20" s="1" t="s">
        <v>72</v>
      </c>
      <c r="C20" s="16">
        <v>1472000</v>
      </c>
      <c r="D20" s="1">
        <v>3000</v>
      </c>
      <c r="E20" s="1" t="s">
        <v>41</v>
      </c>
      <c r="F20" s="23">
        <f t="shared" si="1"/>
        <v>490.66666666666669</v>
      </c>
      <c r="G20" s="17"/>
    </row>
    <row r="21" spans="1:7">
      <c r="A21" s="15">
        <v>19</v>
      </c>
      <c r="B21" s="1" t="s">
        <v>74</v>
      </c>
      <c r="C21" s="16">
        <v>1162000</v>
      </c>
      <c r="D21" s="1">
        <v>3000</v>
      </c>
      <c r="E21" s="1" t="s">
        <v>41</v>
      </c>
      <c r="F21" s="23">
        <f t="shared" si="0"/>
        <v>387.33333333333331</v>
      </c>
      <c r="G21" s="17"/>
    </row>
    <row r="22" spans="1:7">
      <c r="A22" s="15">
        <v>20</v>
      </c>
      <c r="B22" s="1" t="s">
        <v>22</v>
      </c>
      <c r="C22" s="16">
        <v>200000</v>
      </c>
      <c r="D22" s="1">
        <v>3000</v>
      </c>
      <c r="E22" s="1" t="s">
        <v>41</v>
      </c>
      <c r="F22" s="23">
        <f t="shared" si="0"/>
        <v>66.666666666666671</v>
      </c>
      <c r="G22" s="17"/>
    </row>
    <row r="23" spans="1:7">
      <c r="A23" s="15">
        <v>21</v>
      </c>
      <c r="B23" s="1" t="s">
        <v>42</v>
      </c>
      <c r="C23" s="16">
        <v>24000</v>
      </c>
      <c r="D23" s="1">
        <v>20000</v>
      </c>
      <c r="E23" s="1" t="s">
        <v>29</v>
      </c>
      <c r="F23" s="23">
        <f t="shared" si="0"/>
        <v>1.2</v>
      </c>
      <c r="G23" s="17"/>
    </row>
    <row r="24" spans="1:7">
      <c r="A24" s="15">
        <v>22</v>
      </c>
      <c r="B24" s="1"/>
      <c r="C24" s="16"/>
      <c r="D24" s="1"/>
      <c r="E24" s="1"/>
      <c r="F24" s="23"/>
      <c r="G24" s="17"/>
    </row>
    <row r="25" spans="1:7">
      <c r="A25" s="15">
        <v>23</v>
      </c>
      <c r="B25" s="1"/>
      <c r="C25" s="16"/>
      <c r="D25" s="1"/>
      <c r="E25" s="1"/>
      <c r="F25" s="23"/>
      <c r="G25" s="17"/>
    </row>
    <row r="26" spans="1:7">
      <c r="A26" s="15">
        <v>24</v>
      </c>
      <c r="B26" s="1"/>
      <c r="C26" s="16"/>
      <c r="D26" s="1"/>
      <c r="E26" s="1"/>
      <c r="F26" s="23"/>
      <c r="G26" s="17"/>
    </row>
    <row r="27" spans="1:7">
      <c r="A27" s="15">
        <v>25</v>
      </c>
      <c r="B27" s="1"/>
      <c r="C27" s="16"/>
      <c r="D27" s="1"/>
      <c r="E27" s="1"/>
      <c r="F27" s="23"/>
      <c r="G27" s="17"/>
    </row>
    <row r="28" spans="1:7">
      <c r="A28" s="15">
        <v>26</v>
      </c>
      <c r="B28" s="1"/>
      <c r="C28" s="16"/>
      <c r="D28" s="1"/>
      <c r="E28" s="1"/>
      <c r="F28" s="23"/>
      <c r="G28" s="17"/>
    </row>
    <row r="29" spans="1:7">
      <c r="A29" s="15">
        <v>27</v>
      </c>
      <c r="B29" s="1"/>
      <c r="C29" s="16"/>
      <c r="D29" s="1"/>
      <c r="E29" s="1"/>
      <c r="F29" s="23"/>
      <c r="G29" s="17"/>
    </row>
    <row r="30" spans="1:7">
      <c r="A30" s="15">
        <v>28</v>
      </c>
      <c r="B30" s="1"/>
      <c r="C30" s="16"/>
      <c r="D30" s="1"/>
      <c r="E30" s="1"/>
      <c r="F30" s="23"/>
      <c r="G30" s="17"/>
    </row>
    <row r="31" spans="1:7">
      <c r="A31" s="15">
        <v>29</v>
      </c>
      <c r="B31" s="1"/>
      <c r="C31" s="16"/>
      <c r="D31" s="1"/>
      <c r="E31" s="1"/>
      <c r="F31" s="23"/>
      <c r="G31" s="17"/>
    </row>
    <row r="32" spans="1:7">
      <c r="A32" s="18">
        <v>30</v>
      </c>
      <c r="B32" s="19"/>
      <c r="C32" s="20"/>
      <c r="D32" s="19"/>
      <c r="E32" s="19"/>
      <c r="F32" s="24"/>
      <c r="G32" s="21"/>
    </row>
  </sheetData>
  <pageMargins left="0.7" right="0.7" top="0.75" bottom="0.75" header="0.3" footer="0.3"/>
  <pageSetup paperSize="120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8"/>
  <sheetViews>
    <sheetView showGridLines="0" tabSelected="1" zoomScale="115" zoomScaleNormal="115" workbookViewId="0">
      <selection activeCell="S21" sqref="S21"/>
    </sheetView>
  </sheetViews>
  <sheetFormatPr defaultRowHeight="14.4"/>
  <cols>
    <col min="1" max="1" width="15.6640625" style="66" customWidth="1"/>
    <col min="2" max="2" width="2.21875" style="66" customWidth="1"/>
    <col min="3" max="3" width="7.21875" style="66" customWidth="1"/>
    <col min="4" max="4" width="9.44140625" style="66" customWidth="1"/>
    <col min="5" max="5" width="14.5546875" style="40" customWidth="1"/>
    <col min="6" max="20" width="8.88671875" style="27"/>
    <col min="21" max="21" width="8.88671875" style="42"/>
    <col min="22" max="26" width="8.88671875" style="27"/>
  </cols>
  <sheetData>
    <row r="1" spans="1:21">
      <c r="A1" s="90" t="s">
        <v>50</v>
      </c>
      <c r="B1" s="91"/>
      <c r="C1" s="91"/>
      <c r="D1" s="91"/>
      <c r="U1" s="42">
        <v>500000</v>
      </c>
    </row>
    <row r="2" spans="1:21">
      <c r="A2" s="50" t="s">
        <v>3</v>
      </c>
      <c r="B2" s="51"/>
      <c r="C2" s="51"/>
      <c r="D2" s="96"/>
      <c r="U2" s="42">
        <v>200000</v>
      </c>
    </row>
    <row r="3" spans="1:21">
      <c r="A3" s="52" t="s">
        <v>44</v>
      </c>
      <c r="B3" s="51"/>
      <c r="C3" s="51"/>
      <c r="D3" s="97"/>
      <c r="U3" s="42">
        <v>100000</v>
      </c>
    </row>
    <row r="4" spans="1:21">
      <c r="A4" s="53" t="s">
        <v>45</v>
      </c>
      <c r="B4" s="54"/>
      <c r="C4" s="55"/>
      <c r="D4" s="55"/>
      <c r="U4" s="42">
        <v>50000</v>
      </c>
    </row>
    <row r="5" spans="1:21">
      <c r="A5" s="68">
        <f ca="1">NOW()</f>
        <v>45784.573189351853</v>
      </c>
      <c r="B5" s="55"/>
      <c r="C5" s="55"/>
      <c r="D5" s="55"/>
    </row>
    <row r="6" spans="1:21">
      <c r="A6" s="92" t="s">
        <v>0</v>
      </c>
      <c r="B6" s="93"/>
      <c r="C6" s="93"/>
      <c r="D6" s="93"/>
    </row>
    <row r="7" spans="1:21">
      <c r="A7" s="56" t="s">
        <v>78</v>
      </c>
      <c r="B7" s="56" t="s">
        <v>1</v>
      </c>
      <c r="C7" s="56" t="s">
        <v>76</v>
      </c>
      <c r="D7" s="56" t="s">
        <v>77</v>
      </c>
      <c r="E7" s="41"/>
    </row>
    <row r="8" spans="1:21">
      <c r="A8" s="57"/>
      <c r="B8" s="58"/>
      <c r="C8" s="59"/>
      <c r="D8" s="60"/>
    </row>
    <row r="9" spans="1:21">
      <c r="A9" s="94" t="s">
        <v>2</v>
      </c>
      <c r="B9" s="95"/>
      <c r="C9" s="95"/>
      <c r="D9" s="61">
        <v>0</v>
      </c>
    </row>
    <row r="10" spans="1:21">
      <c r="A10" s="62"/>
      <c r="B10" s="63"/>
      <c r="C10" s="63"/>
      <c r="D10" s="64"/>
    </row>
    <row r="11" spans="1:21">
      <c r="A11" s="62" t="s">
        <v>46</v>
      </c>
      <c r="B11" s="63"/>
      <c r="C11" s="63"/>
      <c r="D11" s="64">
        <v>0</v>
      </c>
      <c r="K11" s="27" t="s">
        <v>49</v>
      </c>
    </row>
    <row r="12" spans="1:21">
      <c r="A12" s="62" t="s">
        <v>47</v>
      </c>
      <c r="B12" s="63"/>
      <c r="C12" s="63"/>
      <c r="D12" s="65">
        <v>0</v>
      </c>
    </row>
    <row r="14" spans="1:21">
      <c r="A14" s="66" t="s">
        <v>4</v>
      </c>
    </row>
    <row r="15" spans="1:21">
      <c r="A15" s="66" t="s">
        <v>96</v>
      </c>
    </row>
    <row r="18" spans="1:1">
      <c r="A18" s="67"/>
    </row>
  </sheetData>
  <mergeCells count="4">
    <mergeCell ref="A1:D1"/>
    <mergeCell ref="A6:D6"/>
    <mergeCell ref="A9:C9"/>
    <mergeCell ref="D2:D3"/>
  </mergeCells>
  <dataValidations count="1">
    <dataValidation type="list" allowBlank="1" showInputMessage="1" showErrorMessage="1" sqref="D11">
      <formula1>$U$1:$U$4</formula1>
    </dataValidation>
  </dataValidations>
  <pageMargins left="0.06" right="0" top="0.1" bottom="0" header="0" footer="0"/>
  <pageSetup paperSize="125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4135" r:id="rId4" name="sl10">
          <controlPr defaultSize="0" autoLine="0" r:id="rId5">
            <anchor>
              <from>
                <xdr:col>4</xdr:col>
                <xdr:colOff>396240</xdr:colOff>
                <xdr:row>16</xdr:row>
                <xdr:rowOff>15240</xdr:rowOff>
              </from>
              <to>
                <xdr:col>4</xdr:col>
                <xdr:colOff>541020</xdr:colOff>
                <xdr:row>16</xdr:row>
                <xdr:rowOff>175260</xdr:rowOff>
              </to>
            </anchor>
          </controlPr>
        </control>
      </mc:Choice>
      <mc:Fallback>
        <control shapeId="4135" r:id="rId4" name="sl10"/>
      </mc:Fallback>
    </mc:AlternateContent>
    <mc:AlternateContent xmlns:mc="http://schemas.openxmlformats.org/markup-compatibility/2006">
      <mc:Choice Requires="x14">
        <control shapeId="4134" r:id="rId6" name="sl9">
          <controlPr defaultSize="0" autoLine="0" r:id="rId7">
            <anchor>
              <from>
                <xdr:col>4</xdr:col>
                <xdr:colOff>396240</xdr:colOff>
                <xdr:row>15</xdr:row>
                <xdr:rowOff>22860</xdr:rowOff>
              </from>
              <to>
                <xdr:col>4</xdr:col>
                <xdr:colOff>548640</xdr:colOff>
                <xdr:row>15</xdr:row>
                <xdr:rowOff>175260</xdr:rowOff>
              </to>
            </anchor>
          </controlPr>
        </control>
      </mc:Choice>
      <mc:Fallback>
        <control shapeId="4134" r:id="rId6" name="sl9"/>
      </mc:Fallback>
    </mc:AlternateContent>
    <mc:AlternateContent xmlns:mc="http://schemas.openxmlformats.org/markup-compatibility/2006">
      <mc:Choice Requires="x14">
        <control shapeId="4133" r:id="rId8" name="sl8">
          <controlPr defaultSize="0" autoLine="0" r:id="rId7">
            <anchor>
              <from>
                <xdr:col>4</xdr:col>
                <xdr:colOff>396240</xdr:colOff>
                <xdr:row>14</xdr:row>
                <xdr:rowOff>22860</xdr:rowOff>
              </from>
              <to>
                <xdr:col>4</xdr:col>
                <xdr:colOff>548640</xdr:colOff>
                <xdr:row>14</xdr:row>
                <xdr:rowOff>175260</xdr:rowOff>
              </to>
            </anchor>
          </controlPr>
        </control>
      </mc:Choice>
      <mc:Fallback>
        <control shapeId="4133" r:id="rId8" name="sl8"/>
      </mc:Fallback>
    </mc:AlternateContent>
    <mc:AlternateContent xmlns:mc="http://schemas.openxmlformats.org/markup-compatibility/2006">
      <mc:Choice Requires="x14">
        <control shapeId="4132" r:id="rId9" name="sl7">
          <controlPr defaultSize="0" autoLine="0" r:id="rId10">
            <anchor>
              <from>
                <xdr:col>4</xdr:col>
                <xdr:colOff>396240</xdr:colOff>
                <xdr:row>13</xdr:row>
                <xdr:rowOff>22860</xdr:rowOff>
              </from>
              <to>
                <xdr:col>4</xdr:col>
                <xdr:colOff>548640</xdr:colOff>
                <xdr:row>14</xdr:row>
                <xdr:rowOff>0</xdr:rowOff>
              </to>
            </anchor>
          </controlPr>
        </control>
      </mc:Choice>
      <mc:Fallback>
        <control shapeId="4132" r:id="rId9" name="sl7"/>
      </mc:Fallback>
    </mc:AlternateContent>
    <mc:AlternateContent xmlns:mc="http://schemas.openxmlformats.org/markup-compatibility/2006">
      <mc:Choice Requires="x14">
        <control shapeId="4131" r:id="rId11" name="sl6">
          <controlPr defaultSize="0" autoLine="0" r:id="rId7">
            <anchor>
              <from>
                <xdr:col>4</xdr:col>
                <xdr:colOff>396240</xdr:colOff>
                <xdr:row>12</xdr:row>
                <xdr:rowOff>22860</xdr:rowOff>
              </from>
              <to>
                <xdr:col>4</xdr:col>
                <xdr:colOff>548640</xdr:colOff>
                <xdr:row>12</xdr:row>
                <xdr:rowOff>175260</xdr:rowOff>
              </to>
            </anchor>
          </controlPr>
        </control>
      </mc:Choice>
      <mc:Fallback>
        <control shapeId="4131" r:id="rId11" name="sl6"/>
      </mc:Fallback>
    </mc:AlternateContent>
    <mc:AlternateContent xmlns:mc="http://schemas.openxmlformats.org/markup-compatibility/2006">
      <mc:Choice Requires="x14">
        <control shapeId="4123" r:id="rId12" name="sl5">
          <controlPr defaultSize="0" autoLine="0" r:id="rId5">
            <anchor>
              <from>
                <xdr:col>4</xdr:col>
                <xdr:colOff>396240</xdr:colOff>
                <xdr:row>11</xdr:row>
                <xdr:rowOff>7620</xdr:rowOff>
              </from>
              <to>
                <xdr:col>4</xdr:col>
                <xdr:colOff>541020</xdr:colOff>
                <xdr:row>11</xdr:row>
                <xdr:rowOff>167640</xdr:rowOff>
              </to>
            </anchor>
          </controlPr>
        </control>
      </mc:Choice>
      <mc:Fallback>
        <control shapeId="4123" r:id="rId12" name="sl5"/>
      </mc:Fallback>
    </mc:AlternateContent>
    <mc:AlternateContent xmlns:mc="http://schemas.openxmlformats.org/markup-compatibility/2006">
      <mc:Choice Requires="x14">
        <control shapeId="4122" r:id="rId13" name="sl4">
          <controlPr defaultSize="0" autoLine="0" r:id="rId7">
            <anchor>
              <from>
                <xdr:col>4</xdr:col>
                <xdr:colOff>396240</xdr:colOff>
                <xdr:row>10</xdr:row>
                <xdr:rowOff>15240</xdr:rowOff>
              </from>
              <to>
                <xdr:col>4</xdr:col>
                <xdr:colOff>548640</xdr:colOff>
                <xdr:row>10</xdr:row>
                <xdr:rowOff>167640</xdr:rowOff>
              </to>
            </anchor>
          </controlPr>
        </control>
      </mc:Choice>
      <mc:Fallback>
        <control shapeId="4122" r:id="rId13" name="sl4"/>
      </mc:Fallback>
    </mc:AlternateContent>
    <mc:AlternateContent xmlns:mc="http://schemas.openxmlformats.org/markup-compatibility/2006">
      <mc:Choice Requires="x14">
        <control shapeId="4121" r:id="rId14" name="sl3">
          <controlPr defaultSize="0" autoLine="0" r:id="rId7">
            <anchor>
              <from>
                <xdr:col>4</xdr:col>
                <xdr:colOff>396240</xdr:colOff>
                <xdr:row>9</xdr:row>
                <xdr:rowOff>15240</xdr:rowOff>
              </from>
              <to>
                <xdr:col>4</xdr:col>
                <xdr:colOff>548640</xdr:colOff>
                <xdr:row>9</xdr:row>
                <xdr:rowOff>167640</xdr:rowOff>
              </to>
            </anchor>
          </controlPr>
        </control>
      </mc:Choice>
      <mc:Fallback>
        <control shapeId="4121" r:id="rId14" name="sl3"/>
      </mc:Fallback>
    </mc:AlternateContent>
    <mc:AlternateContent xmlns:mc="http://schemas.openxmlformats.org/markup-compatibility/2006">
      <mc:Choice Requires="x14">
        <control shapeId="4120" r:id="rId15" name="sl2">
          <controlPr defaultSize="0" autoLine="0" r:id="rId10">
            <anchor>
              <from>
                <xdr:col>4</xdr:col>
                <xdr:colOff>396240</xdr:colOff>
                <xdr:row>8</xdr:row>
                <xdr:rowOff>15240</xdr:rowOff>
              </from>
              <to>
                <xdr:col>4</xdr:col>
                <xdr:colOff>548640</xdr:colOff>
                <xdr:row>8</xdr:row>
                <xdr:rowOff>175260</xdr:rowOff>
              </to>
            </anchor>
          </controlPr>
        </control>
      </mc:Choice>
      <mc:Fallback>
        <control shapeId="4120" r:id="rId15" name="sl2"/>
      </mc:Fallback>
    </mc:AlternateContent>
    <mc:AlternateContent xmlns:mc="http://schemas.openxmlformats.org/markup-compatibility/2006">
      <mc:Choice Requires="x14">
        <control shapeId="4119" r:id="rId16" name="sl1">
          <controlPr defaultSize="0" autoLine="0" r:id="rId7">
            <anchor>
              <from>
                <xdr:col>4</xdr:col>
                <xdr:colOff>396240</xdr:colOff>
                <xdr:row>7</xdr:row>
                <xdr:rowOff>15240</xdr:rowOff>
              </from>
              <to>
                <xdr:col>4</xdr:col>
                <xdr:colOff>548640</xdr:colOff>
                <xdr:row>7</xdr:row>
                <xdr:rowOff>167640</xdr:rowOff>
              </to>
            </anchor>
          </controlPr>
        </control>
      </mc:Choice>
      <mc:Fallback>
        <control shapeId="4119" r:id="rId16" name="sl1"/>
      </mc:Fallback>
    </mc:AlternateContent>
    <mc:AlternateContent xmlns:mc="http://schemas.openxmlformats.org/markup-compatibility/2006">
      <mc:Choice Requires="x14">
        <control shapeId="4102" r:id="rId17" name="tru1">
          <controlPr defaultSize="0" print="0" autoFill="0" autoPict="0" macro="[0]!tru_1">
            <anchor>
              <from>
                <xdr:col>4</xdr:col>
                <xdr:colOff>182880</xdr:colOff>
                <xdr:row>7</xdr:row>
                <xdr:rowOff>15240</xdr:rowOff>
              </from>
              <to>
                <xdr:col>4</xdr:col>
                <xdr:colOff>350520</xdr:colOff>
                <xdr:row>7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2" r:id="rId18" name="tru2">
          <controlPr defaultSize="0" print="0" autoFill="0" autoPict="0" macro="[0]!tru_2">
            <anchor>
              <from>
                <xdr:col>4</xdr:col>
                <xdr:colOff>190500</xdr:colOff>
                <xdr:row>8</xdr:row>
                <xdr:rowOff>22860</xdr:rowOff>
              </from>
              <to>
                <xdr:col>4</xdr:col>
                <xdr:colOff>350520</xdr:colOff>
                <xdr:row>8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4" r:id="rId19" name="tru3">
          <controlPr defaultSize="0" print="0" autoFill="0" autoPict="0" macro="[0]!tru_3">
            <anchor>
              <from>
                <xdr:col>4</xdr:col>
                <xdr:colOff>190500</xdr:colOff>
                <xdr:row>9</xdr:row>
                <xdr:rowOff>22860</xdr:rowOff>
              </from>
              <to>
                <xdr:col>4</xdr:col>
                <xdr:colOff>350520</xdr:colOff>
                <xdr:row>9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6" r:id="rId20" name="tru4">
          <controlPr defaultSize="0" print="0" autoFill="0" autoPict="0" macro="[0]!tru_4">
            <anchor>
              <from>
                <xdr:col>4</xdr:col>
                <xdr:colOff>190500</xdr:colOff>
                <xdr:row>10</xdr:row>
                <xdr:rowOff>22860</xdr:rowOff>
              </from>
              <to>
                <xdr:col>4</xdr:col>
                <xdr:colOff>350520</xdr:colOff>
                <xdr:row>10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8" r:id="rId21" name="tru5">
          <controlPr defaultSize="0" print="0" autoFill="0" autoPict="0" macro="[0]!tru_5">
            <anchor>
              <from>
                <xdr:col>4</xdr:col>
                <xdr:colOff>190500</xdr:colOff>
                <xdr:row>11</xdr:row>
                <xdr:rowOff>30480</xdr:rowOff>
              </from>
              <to>
                <xdr:col>4</xdr:col>
                <xdr:colOff>350520</xdr:colOff>
                <xdr:row>11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6" r:id="rId22" name="tru6">
          <controlPr defaultSize="0" print="0" autoFill="0" autoPict="0" macro="[0]!tru_6">
            <anchor>
              <from>
                <xdr:col>4</xdr:col>
                <xdr:colOff>182880</xdr:colOff>
                <xdr:row>12</xdr:row>
                <xdr:rowOff>38100</xdr:rowOff>
              </from>
              <to>
                <xdr:col>4</xdr:col>
                <xdr:colOff>350520</xdr:colOff>
                <xdr:row>12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7" r:id="rId23" name="tru7">
          <controlPr defaultSize="0" print="0" autoFill="0" autoPict="0" macro="[0]!tru_7">
            <anchor>
              <from>
                <xdr:col>4</xdr:col>
                <xdr:colOff>190500</xdr:colOff>
                <xdr:row>13</xdr:row>
                <xdr:rowOff>45720</xdr:rowOff>
              </from>
              <to>
                <xdr:col>4</xdr:col>
                <xdr:colOff>350520</xdr:colOff>
                <xdr:row>13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8" r:id="rId24" name="tru8">
          <controlPr defaultSize="0" print="0" autoFill="0" autoPict="0" macro="[0]!tru_8">
            <anchor>
              <from>
                <xdr:col>4</xdr:col>
                <xdr:colOff>190500</xdr:colOff>
                <xdr:row>14</xdr:row>
                <xdr:rowOff>45720</xdr:rowOff>
              </from>
              <to>
                <xdr:col>4</xdr:col>
                <xdr:colOff>350520</xdr:colOff>
                <xdr:row>14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9" r:id="rId25" name="tru9">
          <controlPr defaultSize="0" print="0" autoFill="0" autoPict="0" macro="[0]!tru_9">
            <anchor>
              <from>
                <xdr:col>4</xdr:col>
                <xdr:colOff>190500</xdr:colOff>
                <xdr:row>15</xdr:row>
                <xdr:rowOff>45720</xdr:rowOff>
              </from>
              <to>
                <xdr:col>4</xdr:col>
                <xdr:colOff>350520</xdr:colOff>
                <xdr:row>15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0" r:id="rId26" name="tru10">
          <controlPr defaultSize="0" print="0" autoFill="0" autoPict="0" macro="[0]!tru_10">
            <anchor>
              <from>
                <xdr:col>4</xdr:col>
                <xdr:colOff>190500</xdr:colOff>
                <xdr:row>16</xdr:row>
                <xdr:rowOff>53340</xdr:rowOff>
              </from>
              <to>
                <xdr:col>4</xdr:col>
                <xdr:colOff>350520</xdr:colOff>
                <xdr:row>16</xdr:row>
                <xdr:rowOff>167640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2"/>
  <sheetViews>
    <sheetView workbookViewId="0">
      <selection activeCell="E25" sqref="E25"/>
    </sheetView>
  </sheetViews>
  <sheetFormatPr defaultRowHeight="14.4"/>
  <cols>
    <col min="1" max="1" width="18.44140625" bestFit="1" customWidth="1"/>
    <col min="3" max="3" width="15" customWidth="1"/>
    <col min="4" max="4" width="10.6640625" customWidth="1"/>
    <col min="5" max="5" width="19.44140625" customWidth="1"/>
    <col min="6" max="6" width="9" customWidth="1"/>
    <col min="7" max="7" width="12.44140625" bestFit="1" customWidth="1"/>
  </cols>
  <sheetData>
    <row r="1" spans="2:7" ht="18">
      <c r="B1" s="43" t="s">
        <v>85</v>
      </c>
      <c r="C1" s="44"/>
    </row>
    <row r="2" spans="2:7">
      <c r="G2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3"/>
  <sheetViews>
    <sheetView workbookViewId="0">
      <selection activeCell="D27" sqref="D27"/>
    </sheetView>
  </sheetViews>
  <sheetFormatPr defaultRowHeight="14.4"/>
  <cols>
    <col min="1" max="1" width="22.21875" bestFit="1" customWidth="1"/>
    <col min="3" max="3" width="10.109375" style="25" bestFit="1" customWidth="1"/>
  </cols>
  <sheetData>
    <row r="1" spans="1:3">
      <c r="A1" t="s">
        <v>98</v>
      </c>
      <c r="B1" t="s">
        <v>1</v>
      </c>
      <c r="C1" s="25" t="s">
        <v>99</v>
      </c>
    </row>
    <row r="2" spans="1:3">
      <c r="A2" s="45" t="s">
        <v>79</v>
      </c>
      <c r="B2">
        <v>0</v>
      </c>
      <c r="C2" s="25">
        <v>0</v>
      </c>
    </row>
    <row r="3" spans="1:3">
      <c r="A3" s="45" t="s">
        <v>82</v>
      </c>
      <c r="B3">
        <v>0</v>
      </c>
      <c r="C3" s="25">
        <v>0</v>
      </c>
    </row>
    <row r="4" spans="1:3">
      <c r="A4" s="47" t="s">
        <v>84</v>
      </c>
      <c r="B4">
        <v>0</v>
      </c>
      <c r="C4" s="25">
        <v>0</v>
      </c>
    </row>
    <row r="5" spans="1:3">
      <c r="A5" s="47" t="s">
        <v>86</v>
      </c>
      <c r="B5">
        <v>0</v>
      </c>
      <c r="C5" s="25">
        <v>0</v>
      </c>
    </row>
    <row r="6" spans="1:3">
      <c r="A6" s="48" t="s">
        <v>80</v>
      </c>
      <c r="B6">
        <v>0</v>
      </c>
      <c r="C6" s="25">
        <v>0</v>
      </c>
    </row>
    <row r="7" spans="1:3">
      <c r="A7" s="48" t="s">
        <v>81</v>
      </c>
      <c r="B7">
        <v>0</v>
      </c>
      <c r="C7" s="25">
        <v>0</v>
      </c>
    </row>
    <row r="8" spans="1:3">
      <c r="A8" s="47" t="s">
        <v>55</v>
      </c>
      <c r="B8">
        <v>0</v>
      </c>
      <c r="C8" s="25">
        <v>0</v>
      </c>
    </row>
    <row r="9" spans="1:3">
      <c r="A9" s="45" t="s">
        <v>56</v>
      </c>
      <c r="B9">
        <v>0</v>
      </c>
      <c r="C9" s="25">
        <v>0</v>
      </c>
    </row>
    <row r="10" spans="1:3">
      <c r="A10" s="47" t="s">
        <v>57</v>
      </c>
      <c r="B10">
        <v>0</v>
      </c>
      <c r="C10" s="25">
        <v>0</v>
      </c>
    </row>
    <row r="11" spans="1:3">
      <c r="A11" s="45" t="s">
        <v>58</v>
      </c>
      <c r="B11">
        <v>0</v>
      </c>
      <c r="C11" s="25">
        <v>0</v>
      </c>
    </row>
    <row r="12" spans="1:3">
      <c r="A12" s="47" t="s">
        <v>59</v>
      </c>
      <c r="B12">
        <v>0</v>
      </c>
      <c r="C12" s="25">
        <v>0</v>
      </c>
    </row>
    <row r="13" spans="1:3">
      <c r="A13" s="45" t="s">
        <v>75</v>
      </c>
      <c r="B13">
        <v>0</v>
      </c>
      <c r="C13" s="25">
        <v>0</v>
      </c>
    </row>
    <row r="14" spans="1:3">
      <c r="A14" s="47" t="s">
        <v>60</v>
      </c>
      <c r="B14">
        <v>0</v>
      </c>
      <c r="C14" s="25">
        <v>0</v>
      </c>
    </row>
    <row r="15" spans="1:3">
      <c r="A15" s="46" t="s">
        <v>61</v>
      </c>
      <c r="B15">
        <v>0</v>
      </c>
      <c r="C15" s="25">
        <v>0</v>
      </c>
    </row>
    <row r="16" spans="1:3">
      <c r="A16" s="47" t="s">
        <v>62</v>
      </c>
      <c r="B16">
        <v>0</v>
      </c>
      <c r="C16" s="25">
        <v>0</v>
      </c>
    </row>
    <row r="17" spans="1:3">
      <c r="A17" s="69" t="s">
        <v>83</v>
      </c>
      <c r="B17">
        <v>0</v>
      </c>
      <c r="C17" s="25">
        <v>0</v>
      </c>
    </row>
    <row r="18" spans="1:3">
      <c r="A18" s="70" t="s">
        <v>89</v>
      </c>
      <c r="B18">
        <v>0</v>
      </c>
      <c r="C18" s="25">
        <v>0</v>
      </c>
    </row>
    <row r="19" spans="1:3">
      <c r="A19" s="69" t="s">
        <v>88</v>
      </c>
      <c r="B19">
        <v>0</v>
      </c>
      <c r="C19" s="25">
        <v>0</v>
      </c>
    </row>
    <row r="20" spans="1:3">
      <c r="A20" s="70" t="s">
        <v>94</v>
      </c>
      <c r="B20">
        <v>0</v>
      </c>
      <c r="C20" s="25">
        <v>0</v>
      </c>
    </row>
    <row r="21" spans="1:3">
      <c r="A21" s="69" t="s">
        <v>93</v>
      </c>
      <c r="B21">
        <v>0</v>
      </c>
      <c r="C21" s="25">
        <v>0</v>
      </c>
    </row>
    <row r="22" spans="1:3">
      <c r="A22" s="70" t="s">
        <v>95</v>
      </c>
      <c r="B22">
        <v>0</v>
      </c>
      <c r="C22" s="25">
        <v>0</v>
      </c>
    </row>
    <row r="23" spans="1:3">
      <c r="A23" s="71" t="s">
        <v>87</v>
      </c>
      <c r="B23">
        <v>0</v>
      </c>
      <c r="C23" s="25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X277"/>
  <sheetViews>
    <sheetView zoomScale="70" zoomScaleNormal="70" workbookViewId="0">
      <selection activeCell="AA47" sqref="AA47"/>
    </sheetView>
  </sheetViews>
  <sheetFormatPr defaultRowHeight="14.4"/>
  <cols>
    <col min="6" max="6" width="18.44140625" bestFit="1" customWidth="1"/>
    <col min="16" max="16" width="18.44140625" bestFit="1" customWidth="1"/>
    <col min="21" max="21" width="24.109375" bestFit="1" customWidth="1"/>
    <col min="23" max="23" width="11.21875" bestFit="1" customWidth="1"/>
    <col min="24" max="24" width="9.6640625" bestFit="1" customWidth="1"/>
  </cols>
  <sheetData>
    <row r="3" spans="1:24" ht="18">
      <c r="A3" s="34" t="s">
        <v>78</v>
      </c>
      <c r="B3" s="34" t="s">
        <v>1</v>
      </c>
      <c r="C3" s="34" t="s">
        <v>76</v>
      </c>
      <c r="D3" s="34" t="s">
        <v>77</v>
      </c>
      <c r="F3" s="34" t="s">
        <v>78</v>
      </c>
      <c r="G3" s="34" t="s">
        <v>1</v>
      </c>
      <c r="H3" s="34" t="s">
        <v>76</v>
      </c>
      <c r="I3" s="34" t="s">
        <v>77</v>
      </c>
      <c r="K3" s="34" t="s">
        <v>78</v>
      </c>
      <c r="L3" s="34" t="s">
        <v>1</v>
      </c>
      <c r="M3" s="34" t="s">
        <v>76</v>
      </c>
      <c r="N3" s="34" t="s">
        <v>77</v>
      </c>
      <c r="P3" s="56" t="s">
        <v>78</v>
      </c>
      <c r="Q3" s="56" t="s">
        <v>1</v>
      </c>
      <c r="R3" s="56" t="s">
        <v>76</v>
      </c>
      <c r="S3" s="56" t="s">
        <v>77</v>
      </c>
      <c r="V3" s="43" t="s">
        <v>85</v>
      </c>
      <c r="W3" s="44">
        <v>251000</v>
      </c>
    </row>
    <row r="4" spans="1:24">
      <c r="A4" s="38" t="s">
        <v>81</v>
      </c>
      <c r="B4" s="35">
        <v>1</v>
      </c>
      <c r="C4" s="36">
        <v>24000</v>
      </c>
      <c r="D4" s="37">
        <v>24000</v>
      </c>
      <c r="F4" s="38" t="s">
        <v>79</v>
      </c>
      <c r="G4" s="35">
        <v>1</v>
      </c>
      <c r="H4" s="36">
        <v>23000</v>
      </c>
      <c r="I4" s="37">
        <v>23000</v>
      </c>
      <c r="K4" s="38" t="s">
        <v>62</v>
      </c>
      <c r="L4" s="35">
        <v>2</v>
      </c>
      <c r="M4" s="36">
        <v>25000</v>
      </c>
      <c r="N4" s="37">
        <v>50000</v>
      </c>
      <c r="P4" s="57" t="s">
        <v>82</v>
      </c>
      <c r="Q4" s="58">
        <v>1</v>
      </c>
      <c r="R4" s="59">
        <v>28000</v>
      </c>
      <c r="S4" s="60">
        <v>28000</v>
      </c>
    </row>
    <row r="5" spans="1:24">
      <c r="A5" s="38" t="s">
        <v>86</v>
      </c>
      <c r="B5" s="35">
        <v>1</v>
      </c>
      <c r="C5" s="36">
        <v>28000</v>
      </c>
      <c r="D5" s="37">
        <v>28000</v>
      </c>
      <c r="F5" s="38" t="s">
        <v>83</v>
      </c>
      <c r="G5" s="35">
        <v>1</v>
      </c>
      <c r="H5" s="36">
        <v>6000</v>
      </c>
      <c r="I5" s="37">
        <v>6000</v>
      </c>
      <c r="K5" s="38" t="s">
        <v>89</v>
      </c>
      <c r="L5" s="35">
        <v>1</v>
      </c>
      <c r="M5" s="36">
        <v>6000</v>
      </c>
      <c r="N5" s="37">
        <v>6000</v>
      </c>
      <c r="P5" s="57" t="s">
        <v>94</v>
      </c>
      <c r="Q5" s="58">
        <v>1</v>
      </c>
      <c r="R5" s="59">
        <v>6000</v>
      </c>
      <c r="S5" s="60">
        <v>6000</v>
      </c>
      <c r="U5" s="68">
        <f ca="1">NOW()</f>
        <v>45784.573189351853</v>
      </c>
      <c r="V5" s="55"/>
      <c r="W5" s="55"/>
      <c r="X5" s="55"/>
    </row>
    <row r="6" spans="1:24">
      <c r="A6" s="38" t="s">
        <v>87</v>
      </c>
      <c r="B6" s="35">
        <v>4</v>
      </c>
      <c r="C6" s="36">
        <v>7000</v>
      </c>
      <c r="D6" s="37">
        <v>28000</v>
      </c>
      <c r="F6" s="38" t="s">
        <v>60</v>
      </c>
      <c r="G6" s="35">
        <v>1</v>
      </c>
      <c r="H6" s="36">
        <v>32000</v>
      </c>
      <c r="I6" s="37">
        <v>32000</v>
      </c>
      <c r="K6" s="38" t="s">
        <v>87</v>
      </c>
      <c r="L6" s="35">
        <v>1</v>
      </c>
      <c r="M6" s="36">
        <v>7000</v>
      </c>
      <c r="N6" s="37">
        <v>7000</v>
      </c>
      <c r="P6" s="57" t="s">
        <v>55</v>
      </c>
      <c r="Q6" s="58">
        <v>1</v>
      </c>
      <c r="R6" s="59">
        <v>35000</v>
      </c>
      <c r="S6" s="60">
        <v>35000</v>
      </c>
      <c r="U6" s="92" t="s">
        <v>0</v>
      </c>
      <c r="V6" s="93"/>
      <c r="W6" s="93"/>
      <c r="X6" s="93"/>
    </row>
    <row r="7" spans="1:24">
      <c r="A7" s="38"/>
      <c r="B7" s="35"/>
      <c r="C7" s="36"/>
      <c r="D7" s="37"/>
      <c r="F7" s="38"/>
      <c r="G7" s="35"/>
      <c r="H7" s="36"/>
      <c r="I7" s="37"/>
      <c r="K7" s="38"/>
      <c r="L7" s="35"/>
      <c r="M7" s="36"/>
      <c r="N7" s="37"/>
      <c r="P7" s="57"/>
      <c r="Q7" s="58"/>
      <c r="R7" s="59"/>
      <c r="S7" s="60"/>
      <c r="U7" s="56" t="s">
        <v>78</v>
      </c>
      <c r="V7" s="56" t="s">
        <v>1</v>
      </c>
      <c r="W7" s="56" t="s">
        <v>76</v>
      </c>
      <c r="X7" s="56" t="s">
        <v>77</v>
      </c>
    </row>
    <row r="8" spans="1:24">
      <c r="A8" s="98" t="s">
        <v>2</v>
      </c>
      <c r="B8" s="99"/>
      <c r="C8" s="99"/>
      <c r="D8" s="39"/>
      <c r="F8" s="98" t="s">
        <v>2</v>
      </c>
      <c r="G8" s="99"/>
      <c r="H8" s="99"/>
      <c r="I8" s="39"/>
      <c r="K8" s="98" t="s">
        <v>2</v>
      </c>
      <c r="L8" s="99"/>
      <c r="M8" s="99"/>
      <c r="N8" s="39"/>
      <c r="P8" s="94" t="s">
        <v>2</v>
      </c>
      <c r="Q8" s="95"/>
      <c r="R8" s="95"/>
      <c r="S8" s="61"/>
      <c r="U8" s="57" t="s">
        <v>75</v>
      </c>
      <c r="V8" s="58">
        <v>1</v>
      </c>
      <c r="W8" s="59">
        <v>32000</v>
      </c>
      <c r="X8" s="60">
        <v>32000</v>
      </c>
    </row>
    <row r="9" spans="1:24">
      <c r="U9" s="57" t="s">
        <v>62</v>
      </c>
      <c r="V9" s="58">
        <v>1</v>
      </c>
      <c r="W9" s="59">
        <v>25000</v>
      </c>
      <c r="X9" s="60">
        <v>25000</v>
      </c>
    </row>
    <row r="10" spans="1:24">
      <c r="A10" s="34" t="s">
        <v>78</v>
      </c>
      <c r="B10" s="34" t="s">
        <v>1</v>
      </c>
      <c r="C10" s="34" t="s">
        <v>76</v>
      </c>
      <c r="D10" s="34" t="s">
        <v>77</v>
      </c>
      <c r="F10" s="34" t="s">
        <v>78</v>
      </c>
      <c r="G10" s="34" t="s">
        <v>1</v>
      </c>
      <c r="H10" s="34" t="s">
        <v>76</v>
      </c>
      <c r="I10" s="34" t="s">
        <v>77</v>
      </c>
      <c r="K10" s="34" t="s">
        <v>78</v>
      </c>
      <c r="L10" s="34" t="s">
        <v>1</v>
      </c>
      <c r="M10" s="34" t="s">
        <v>76</v>
      </c>
      <c r="N10" s="34" t="s">
        <v>77</v>
      </c>
      <c r="P10" s="56" t="s">
        <v>78</v>
      </c>
      <c r="Q10" s="56" t="s">
        <v>1</v>
      </c>
      <c r="R10" s="56" t="s">
        <v>76</v>
      </c>
      <c r="S10" s="56" t="s">
        <v>77</v>
      </c>
      <c r="U10" s="57"/>
      <c r="V10" s="58"/>
      <c r="W10" s="59"/>
      <c r="X10" s="60"/>
    </row>
    <row r="11" spans="1:24">
      <c r="A11" s="38" t="s">
        <v>82</v>
      </c>
      <c r="B11" s="35">
        <v>1</v>
      </c>
      <c r="C11" s="36">
        <v>28000</v>
      </c>
      <c r="D11" s="37">
        <v>28000</v>
      </c>
      <c r="F11" s="38" t="s">
        <v>56</v>
      </c>
      <c r="G11" s="35">
        <v>1</v>
      </c>
      <c r="H11" s="36">
        <v>36000</v>
      </c>
      <c r="I11" s="37">
        <v>36000</v>
      </c>
      <c r="K11" s="38" t="s">
        <v>84</v>
      </c>
      <c r="L11" s="35">
        <v>1</v>
      </c>
      <c r="M11" s="36">
        <v>23000</v>
      </c>
      <c r="N11" s="37">
        <v>23000</v>
      </c>
      <c r="P11" s="57" t="s">
        <v>61</v>
      </c>
      <c r="Q11" s="58">
        <v>1</v>
      </c>
      <c r="R11" s="59">
        <v>28000</v>
      </c>
      <c r="S11" s="60">
        <v>28000</v>
      </c>
      <c r="U11" s="94" t="s">
        <v>2</v>
      </c>
      <c r="V11" s="95"/>
      <c r="W11" s="95"/>
      <c r="X11" s="61">
        <v>57000</v>
      </c>
    </row>
    <row r="12" spans="1:24">
      <c r="A12" s="38" t="s">
        <v>86</v>
      </c>
      <c r="B12" s="35">
        <v>1</v>
      </c>
      <c r="C12" s="36">
        <v>28000</v>
      </c>
      <c r="D12" s="37">
        <v>28000</v>
      </c>
      <c r="F12" s="38" t="s">
        <v>75</v>
      </c>
      <c r="G12" s="35">
        <v>1</v>
      </c>
      <c r="H12" s="36">
        <v>32000</v>
      </c>
      <c r="I12" s="37">
        <v>32000</v>
      </c>
      <c r="K12" s="38" t="s">
        <v>88</v>
      </c>
      <c r="L12" s="35">
        <v>1</v>
      </c>
      <c r="M12" s="36">
        <v>7000</v>
      </c>
      <c r="N12" s="37">
        <v>7000</v>
      </c>
      <c r="P12" s="57"/>
      <c r="Q12" s="58"/>
      <c r="R12" s="59"/>
      <c r="S12" s="60"/>
    </row>
    <row r="13" spans="1:24">
      <c r="A13" s="38" t="s">
        <v>81</v>
      </c>
      <c r="B13" s="35">
        <v>1</v>
      </c>
      <c r="C13" s="36">
        <v>29000</v>
      </c>
      <c r="D13" s="37">
        <v>29000</v>
      </c>
      <c r="F13" s="38"/>
      <c r="G13" s="35"/>
      <c r="H13" s="36"/>
      <c r="I13" s="37"/>
      <c r="K13" s="38" t="s">
        <v>55</v>
      </c>
      <c r="L13" s="35">
        <v>1</v>
      </c>
      <c r="M13" s="36">
        <v>35000</v>
      </c>
      <c r="N13" s="37">
        <v>35000</v>
      </c>
      <c r="P13" s="94" t="s">
        <v>2</v>
      </c>
      <c r="Q13" s="95"/>
      <c r="R13" s="95"/>
      <c r="S13" s="61"/>
      <c r="U13" s="68">
        <f ca="1">NOW()</f>
        <v>45784.573189351853</v>
      </c>
      <c r="V13" s="55"/>
      <c r="W13" s="55"/>
      <c r="X13" s="55"/>
    </row>
    <row r="14" spans="1:24">
      <c r="A14" s="38" t="s">
        <v>83</v>
      </c>
      <c r="B14" s="35">
        <v>3</v>
      </c>
      <c r="C14" s="36">
        <v>6000</v>
      </c>
      <c r="D14" s="37">
        <v>18000</v>
      </c>
      <c r="F14" s="98" t="s">
        <v>2</v>
      </c>
      <c r="G14" s="99"/>
      <c r="H14" s="99"/>
      <c r="I14" s="49"/>
      <c r="K14" s="38"/>
      <c r="L14" s="35"/>
      <c r="M14" s="36"/>
      <c r="N14" s="37"/>
      <c r="U14" s="92" t="s">
        <v>0</v>
      </c>
      <c r="V14" s="93"/>
      <c r="W14" s="93"/>
      <c r="X14" s="93"/>
    </row>
    <row r="15" spans="1:24">
      <c r="K15" s="98" t="s">
        <v>2</v>
      </c>
      <c r="L15" s="99"/>
      <c r="M15" s="99"/>
      <c r="N15" s="39"/>
      <c r="P15" s="56" t="s">
        <v>78</v>
      </c>
      <c r="Q15" s="56" t="s">
        <v>1</v>
      </c>
      <c r="R15" s="56" t="s">
        <v>76</v>
      </c>
      <c r="S15" s="56" t="s">
        <v>77</v>
      </c>
      <c r="U15" s="56" t="s">
        <v>78</v>
      </c>
      <c r="V15" s="56" t="s">
        <v>1</v>
      </c>
      <c r="W15" s="56" t="s">
        <v>76</v>
      </c>
      <c r="X15" s="56" t="s">
        <v>77</v>
      </c>
    </row>
    <row r="16" spans="1:24">
      <c r="A16" s="34" t="s">
        <v>78</v>
      </c>
      <c r="B16" s="34" t="s">
        <v>1</v>
      </c>
      <c r="C16" s="34" t="s">
        <v>76</v>
      </c>
      <c r="D16" s="34" t="s">
        <v>77</v>
      </c>
      <c r="F16" s="34" t="s">
        <v>78</v>
      </c>
      <c r="G16" s="34" t="s">
        <v>1</v>
      </c>
      <c r="H16" s="34" t="s">
        <v>76</v>
      </c>
      <c r="I16" s="34" t="s">
        <v>77</v>
      </c>
      <c r="P16" s="57" t="s">
        <v>56</v>
      </c>
      <c r="Q16" s="58">
        <v>1</v>
      </c>
      <c r="R16" s="59">
        <v>36000</v>
      </c>
      <c r="S16" s="60">
        <v>36000</v>
      </c>
      <c r="U16" s="57" t="s">
        <v>79</v>
      </c>
      <c r="V16" s="58">
        <v>1</v>
      </c>
      <c r="W16" s="59">
        <v>23000</v>
      </c>
      <c r="X16" s="60">
        <v>23000</v>
      </c>
    </row>
    <row r="17" spans="1:24">
      <c r="A17" s="38" t="s">
        <v>58</v>
      </c>
      <c r="B17" s="35">
        <v>1</v>
      </c>
      <c r="C17" s="36">
        <v>30000</v>
      </c>
      <c r="D17" s="37">
        <v>30000</v>
      </c>
      <c r="F17" s="38" t="s">
        <v>57</v>
      </c>
      <c r="G17" s="35">
        <v>1</v>
      </c>
      <c r="H17" s="36">
        <v>36000</v>
      </c>
      <c r="I17" s="37">
        <v>36000</v>
      </c>
      <c r="K17" s="34" t="s">
        <v>78</v>
      </c>
      <c r="L17" s="34" t="s">
        <v>1</v>
      </c>
      <c r="M17" s="34" t="s">
        <v>76</v>
      </c>
      <c r="N17" s="34" t="s">
        <v>77</v>
      </c>
      <c r="P17" s="57" t="s">
        <v>84</v>
      </c>
      <c r="Q17" s="58">
        <v>1</v>
      </c>
      <c r="R17" s="59">
        <v>23000</v>
      </c>
      <c r="S17" s="60">
        <v>23000</v>
      </c>
      <c r="U17" s="57"/>
      <c r="V17" s="58"/>
      <c r="W17" s="59"/>
      <c r="X17" s="60"/>
    </row>
    <row r="18" spans="1:24">
      <c r="A18" s="38" t="s">
        <v>57</v>
      </c>
      <c r="B18" s="35">
        <v>1</v>
      </c>
      <c r="C18" s="36">
        <v>36000</v>
      </c>
      <c r="D18" s="37">
        <v>36000</v>
      </c>
      <c r="F18" s="38"/>
      <c r="G18" s="35"/>
      <c r="H18" s="36"/>
      <c r="I18" s="37"/>
      <c r="K18" s="38" t="s">
        <v>58</v>
      </c>
      <c r="L18" s="35">
        <v>1</v>
      </c>
      <c r="M18" s="36">
        <v>30000</v>
      </c>
      <c r="N18" s="37">
        <v>30000</v>
      </c>
      <c r="P18" s="57"/>
      <c r="Q18" s="58"/>
      <c r="R18" s="59"/>
      <c r="S18" s="60"/>
      <c r="U18" s="94" t="s">
        <v>2</v>
      </c>
      <c r="V18" s="95"/>
      <c r="W18" s="95"/>
      <c r="X18" s="61">
        <v>23000</v>
      </c>
    </row>
    <row r="19" spans="1:24">
      <c r="A19" s="38"/>
      <c r="B19" s="35"/>
      <c r="C19" s="36"/>
      <c r="D19" s="37"/>
      <c r="F19" s="98" t="s">
        <v>2</v>
      </c>
      <c r="G19" s="99"/>
      <c r="H19" s="99"/>
      <c r="I19" s="39"/>
      <c r="K19" s="38" t="s">
        <v>62</v>
      </c>
      <c r="L19" s="35">
        <v>1</v>
      </c>
      <c r="M19" s="36">
        <v>25000</v>
      </c>
      <c r="N19" s="37">
        <v>25000</v>
      </c>
      <c r="P19" s="94" t="s">
        <v>2</v>
      </c>
      <c r="Q19" s="95"/>
      <c r="R19" s="95"/>
      <c r="S19" s="61"/>
    </row>
    <row r="20" spans="1:24">
      <c r="A20" s="34" t="s">
        <v>78</v>
      </c>
      <c r="B20" s="34" t="s">
        <v>1</v>
      </c>
      <c r="C20" s="34" t="s">
        <v>76</v>
      </c>
      <c r="D20" s="34" t="s">
        <v>77</v>
      </c>
      <c r="K20" s="38"/>
      <c r="L20" s="35"/>
      <c r="M20" s="36"/>
      <c r="N20" s="37"/>
      <c r="U20" s="68">
        <f ca="1">NOW()</f>
        <v>45784.573189351853</v>
      </c>
      <c r="V20" s="55"/>
      <c r="W20" s="55"/>
      <c r="X20" s="55"/>
    </row>
    <row r="21" spans="1:24">
      <c r="A21" s="38" t="s">
        <v>86</v>
      </c>
      <c r="B21" s="35">
        <v>1</v>
      </c>
      <c r="C21" s="36">
        <v>28000</v>
      </c>
      <c r="D21" s="37">
        <v>28000</v>
      </c>
      <c r="F21" s="34" t="s">
        <v>78</v>
      </c>
      <c r="G21" s="34" t="s">
        <v>1</v>
      </c>
      <c r="H21" s="34" t="s">
        <v>76</v>
      </c>
      <c r="I21" s="34" t="s">
        <v>77</v>
      </c>
      <c r="K21" s="98" t="s">
        <v>2</v>
      </c>
      <c r="L21" s="99"/>
      <c r="M21" s="99"/>
      <c r="N21" s="39"/>
      <c r="P21" s="56" t="s">
        <v>78</v>
      </c>
      <c r="Q21" s="56" t="s">
        <v>1</v>
      </c>
      <c r="R21" s="56" t="s">
        <v>76</v>
      </c>
      <c r="S21" s="56" t="s">
        <v>77</v>
      </c>
      <c r="U21" s="92" t="s">
        <v>0</v>
      </c>
      <c r="V21" s="93"/>
      <c r="W21" s="93"/>
      <c r="X21" s="93"/>
    </row>
    <row r="22" spans="1:24">
      <c r="A22" s="38" t="s">
        <v>88</v>
      </c>
      <c r="B22" s="35">
        <v>1</v>
      </c>
      <c r="C22" s="36">
        <v>7000</v>
      </c>
      <c r="D22" s="37">
        <v>7000</v>
      </c>
      <c r="F22" s="38" t="s">
        <v>62</v>
      </c>
      <c r="G22" s="35">
        <v>1</v>
      </c>
      <c r="H22" s="36">
        <v>25000</v>
      </c>
      <c r="I22" s="37">
        <v>25000</v>
      </c>
      <c r="P22" s="57" t="s">
        <v>82</v>
      </c>
      <c r="Q22" s="58">
        <v>3</v>
      </c>
      <c r="R22" s="59">
        <v>28000</v>
      </c>
      <c r="S22" s="60">
        <v>84000</v>
      </c>
      <c r="U22" s="56" t="s">
        <v>78</v>
      </c>
      <c r="V22" s="56" t="s">
        <v>1</v>
      </c>
      <c r="W22" s="56" t="s">
        <v>76</v>
      </c>
      <c r="X22" s="56" t="s">
        <v>77</v>
      </c>
    </row>
    <row r="23" spans="1:24">
      <c r="A23" s="38" t="s">
        <v>56</v>
      </c>
      <c r="B23" s="35">
        <v>1</v>
      </c>
      <c r="C23" s="36">
        <v>36000</v>
      </c>
      <c r="D23" s="37">
        <v>36000</v>
      </c>
      <c r="F23" s="38" t="s">
        <v>83</v>
      </c>
      <c r="G23" s="35">
        <v>1</v>
      </c>
      <c r="H23" s="36">
        <v>6000</v>
      </c>
      <c r="I23" s="37">
        <v>6000</v>
      </c>
      <c r="K23" s="56" t="s">
        <v>78</v>
      </c>
      <c r="L23" s="56" t="s">
        <v>1</v>
      </c>
      <c r="M23" s="56" t="s">
        <v>76</v>
      </c>
      <c r="N23" s="56" t="s">
        <v>77</v>
      </c>
      <c r="P23" s="57" t="s">
        <v>87</v>
      </c>
      <c r="Q23" s="58">
        <v>4</v>
      </c>
      <c r="R23" s="59">
        <v>7000</v>
      </c>
      <c r="S23" s="60">
        <v>28000</v>
      </c>
      <c r="U23" s="57" t="s">
        <v>58</v>
      </c>
      <c r="V23" s="58">
        <v>3</v>
      </c>
      <c r="W23" s="59">
        <v>30000</v>
      </c>
      <c r="X23" s="60">
        <v>90000</v>
      </c>
    </row>
    <row r="24" spans="1:24">
      <c r="A24" s="38" t="s">
        <v>89</v>
      </c>
      <c r="B24" s="35">
        <v>1</v>
      </c>
      <c r="C24" s="36">
        <v>6000</v>
      </c>
      <c r="D24" s="37">
        <v>6000</v>
      </c>
      <c r="F24" s="38" t="s">
        <v>56</v>
      </c>
      <c r="G24" s="35">
        <v>1</v>
      </c>
      <c r="H24" s="36">
        <v>36000</v>
      </c>
      <c r="I24" s="37">
        <v>36000</v>
      </c>
      <c r="K24" s="57" t="s">
        <v>58</v>
      </c>
      <c r="L24" s="58">
        <v>1</v>
      </c>
      <c r="M24" s="59">
        <v>30000</v>
      </c>
      <c r="N24" s="60">
        <v>30000</v>
      </c>
      <c r="P24" s="57" t="s">
        <v>55</v>
      </c>
      <c r="Q24" s="58">
        <v>1</v>
      </c>
      <c r="R24" s="59">
        <v>35000</v>
      </c>
      <c r="S24" s="60">
        <v>35000</v>
      </c>
      <c r="U24" s="57" t="s">
        <v>84</v>
      </c>
      <c r="V24" s="58">
        <v>1</v>
      </c>
      <c r="W24" s="59">
        <v>23000</v>
      </c>
      <c r="X24" s="60">
        <v>23000</v>
      </c>
    </row>
    <row r="25" spans="1:24">
      <c r="A25" s="38" t="s">
        <v>58</v>
      </c>
      <c r="B25" s="35">
        <v>1</v>
      </c>
      <c r="C25" s="36">
        <v>30000</v>
      </c>
      <c r="D25" s="37">
        <v>30000</v>
      </c>
      <c r="F25" s="38" t="s">
        <v>89</v>
      </c>
      <c r="G25" s="35">
        <v>1</v>
      </c>
      <c r="H25" s="36">
        <v>6000</v>
      </c>
      <c r="I25" s="37">
        <v>6000</v>
      </c>
      <c r="K25" s="57"/>
      <c r="L25" s="58"/>
      <c r="M25" s="59"/>
      <c r="N25" s="60"/>
      <c r="P25" s="57"/>
      <c r="Q25" s="58"/>
      <c r="R25" s="59"/>
      <c r="S25" s="60"/>
      <c r="U25" s="57" t="s">
        <v>79</v>
      </c>
      <c r="V25" s="58">
        <v>2</v>
      </c>
      <c r="W25" s="59">
        <v>23000</v>
      </c>
      <c r="X25" s="60">
        <v>46000</v>
      </c>
    </row>
    <row r="26" spans="1:24">
      <c r="A26" s="38" t="s">
        <v>82</v>
      </c>
      <c r="B26" s="35">
        <v>1</v>
      </c>
      <c r="C26" s="36">
        <v>28000</v>
      </c>
      <c r="D26" s="37">
        <v>28000</v>
      </c>
      <c r="F26" s="38"/>
      <c r="G26" s="35"/>
      <c r="H26" s="36"/>
      <c r="I26" s="37"/>
      <c r="K26" s="94" t="s">
        <v>2</v>
      </c>
      <c r="L26" s="95"/>
      <c r="M26" s="95"/>
      <c r="N26" s="61"/>
      <c r="P26" s="94" t="s">
        <v>2</v>
      </c>
      <c r="Q26" s="95"/>
      <c r="R26" s="95"/>
      <c r="S26" s="61"/>
      <c r="U26" s="57" t="s">
        <v>83</v>
      </c>
      <c r="V26" s="58">
        <v>1</v>
      </c>
      <c r="W26" s="59">
        <v>6000</v>
      </c>
      <c r="X26" s="60">
        <v>6000</v>
      </c>
    </row>
    <row r="27" spans="1:24">
      <c r="A27" s="38" t="s">
        <v>83</v>
      </c>
      <c r="B27" s="35">
        <v>1</v>
      </c>
      <c r="C27" s="36">
        <v>6000</v>
      </c>
      <c r="D27" s="37">
        <v>6000</v>
      </c>
      <c r="F27" s="98" t="s">
        <v>2</v>
      </c>
      <c r="G27" s="99"/>
      <c r="H27" s="99"/>
      <c r="I27" s="39"/>
      <c r="U27" s="57" t="s">
        <v>83</v>
      </c>
      <c r="V27" s="58">
        <v>1</v>
      </c>
      <c r="W27" s="59">
        <v>6000</v>
      </c>
      <c r="X27" s="60">
        <v>6000</v>
      </c>
    </row>
    <row r="28" spans="1:24">
      <c r="A28" s="38" t="s">
        <v>86</v>
      </c>
      <c r="B28" s="35">
        <v>1</v>
      </c>
      <c r="C28" s="36">
        <v>28000</v>
      </c>
      <c r="D28" s="37">
        <v>28000</v>
      </c>
      <c r="K28" s="56" t="s">
        <v>78</v>
      </c>
      <c r="L28" s="56" t="s">
        <v>1</v>
      </c>
      <c r="M28" s="56" t="s">
        <v>76</v>
      </c>
      <c r="N28" s="56" t="s">
        <v>77</v>
      </c>
      <c r="P28" s="56" t="s">
        <v>78</v>
      </c>
      <c r="Q28" s="56" t="s">
        <v>1</v>
      </c>
      <c r="R28" s="56" t="s">
        <v>76</v>
      </c>
      <c r="S28" s="56" t="s">
        <v>77</v>
      </c>
      <c r="U28" s="57"/>
      <c r="V28" s="58"/>
      <c r="W28" s="59"/>
      <c r="X28" s="60"/>
    </row>
    <row r="29" spans="1:24">
      <c r="A29" s="38" t="s">
        <v>88</v>
      </c>
      <c r="B29" s="35">
        <v>1</v>
      </c>
      <c r="C29" s="36">
        <v>7000</v>
      </c>
      <c r="D29" s="37">
        <v>7000</v>
      </c>
      <c r="F29" s="34" t="s">
        <v>78</v>
      </c>
      <c r="G29" s="34" t="s">
        <v>1</v>
      </c>
      <c r="H29" s="34" t="s">
        <v>76</v>
      </c>
      <c r="I29" s="34" t="s">
        <v>77</v>
      </c>
      <c r="K29" s="57" t="s">
        <v>82</v>
      </c>
      <c r="L29" s="58">
        <v>1</v>
      </c>
      <c r="M29" s="59">
        <v>28000</v>
      </c>
      <c r="N29" s="60">
        <v>28000</v>
      </c>
      <c r="P29" s="57" t="s">
        <v>56</v>
      </c>
      <c r="Q29" s="58">
        <v>1</v>
      </c>
      <c r="R29" s="59">
        <v>36000</v>
      </c>
      <c r="S29" s="60">
        <v>36000</v>
      </c>
      <c r="U29" s="94" t="s">
        <v>2</v>
      </c>
      <c r="V29" s="95"/>
      <c r="W29" s="95"/>
      <c r="X29" s="61">
        <v>171000</v>
      </c>
    </row>
    <row r="30" spans="1:24">
      <c r="A30" s="38" t="s">
        <v>83</v>
      </c>
      <c r="B30" s="35">
        <v>1</v>
      </c>
      <c r="C30" s="36">
        <v>6000</v>
      </c>
      <c r="D30" s="37">
        <v>6000</v>
      </c>
      <c r="F30" s="38" t="s">
        <v>86</v>
      </c>
      <c r="G30" s="35">
        <v>1</v>
      </c>
      <c r="H30" s="36">
        <v>28000</v>
      </c>
      <c r="I30" s="37">
        <v>28000</v>
      </c>
      <c r="K30" s="57" t="s">
        <v>88</v>
      </c>
      <c r="L30" s="58">
        <v>1</v>
      </c>
      <c r="M30" s="59">
        <v>7000</v>
      </c>
      <c r="N30" s="60">
        <v>7000</v>
      </c>
      <c r="P30" s="57"/>
      <c r="Q30" s="58"/>
      <c r="R30" s="59"/>
      <c r="S30" s="60"/>
    </row>
    <row r="31" spans="1:24">
      <c r="A31" s="38"/>
      <c r="B31" s="35"/>
      <c r="C31" s="36"/>
      <c r="D31" s="37"/>
      <c r="F31" s="38" t="s">
        <v>95</v>
      </c>
      <c r="G31" s="35">
        <v>1</v>
      </c>
      <c r="H31" s="36">
        <v>6000</v>
      </c>
      <c r="I31" s="37">
        <v>6000</v>
      </c>
      <c r="K31" s="57" t="s">
        <v>86</v>
      </c>
      <c r="L31" s="58">
        <v>1</v>
      </c>
      <c r="M31" s="59">
        <v>28000</v>
      </c>
      <c r="N31" s="60">
        <v>28000</v>
      </c>
      <c r="P31" s="94" t="s">
        <v>2</v>
      </c>
      <c r="Q31" s="95"/>
      <c r="R31" s="95"/>
      <c r="S31" s="61"/>
      <c r="U31" t="s">
        <v>98</v>
      </c>
      <c r="V31" t="s">
        <v>1</v>
      </c>
      <c r="W31" s="25" t="s">
        <v>99</v>
      </c>
    </row>
    <row r="32" spans="1:24">
      <c r="A32" s="98" t="s">
        <v>2</v>
      </c>
      <c r="B32" s="99"/>
      <c r="C32" s="99"/>
      <c r="D32" s="39"/>
      <c r="F32" s="38"/>
      <c r="G32" s="35"/>
      <c r="H32" s="36"/>
      <c r="I32" s="37"/>
      <c r="K32" s="57" t="s">
        <v>94</v>
      </c>
      <c r="L32" s="58">
        <v>1</v>
      </c>
      <c r="M32" s="59">
        <v>6000</v>
      </c>
      <c r="N32" s="60">
        <v>6000</v>
      </c>
      <c r="U32" s="45" t="s">
        <v>79</v>
      </c>
      <c r="V32">
        <v>3</v>
      </c>
      <c r="W32" s="25">
        <v>69000</v>
      </c>
    </row>
    <row r="33" spans="1:23">
      <c r="F33" s="98" t="s">
        <v>2</v>
      </c>
      <c r="G33" s="99"/>
      <c r="H33" s="99"/>
      <c r="I33" s="39"/>
      <c r="K33" s="57"/>
      <c r="L33" s="58"/>
      <c r="M33" s="59"/>
      <c r="N33" s="60"/>
      <c r="P33" s="56" t="s">
        <v>78</v>
      </c>
      <c r="Q33" s="56" t="s">
        <v>1</v>
      </c>
      <c r="R33" s="56" t="s">
        <v>76</v>
      </c>
      <c r="S33" s="56" t="s">
        <v>77</v>
      </c>
      <c r="U33" s="45" t="s">
        <v>82</v>
      </c>
      <c r="V33">
        <v>0</v>
      </c>
      <c r="W33" s="25">
        <v>0</v>
      </c>
    </row>
    <row r="34" spans="1:23">
      <c r="A34" s="34" t="s">
        <v>78</v>
      </c>
      <c r="B34" s="34" t="s">
        <v>1</v>
      </c>
      <c r="C34" s="34" t="s">
        <v>76</v>
      </c>
      <c r="D34" s="34" t="s">
        <v>77</v>
      </c>
      <c r="K34" s="94" t="s">
        <v>2</v>
      </c>
      <c r="L34" s="95"/>
      <c r="M34" s="95"/>
      <c r="N34" s="61"/>
      <c r="P34" s="57" t="s">
        <v>56</v>
      </c>
      <c r="Q34" s="58">
        <v>1</v>
      </c>
      <c r="R34" s="59">
        <v>36000</v>
      </c>
      <c r="S34" s="60">
        <v>36000</v>
      </c>
      <c r="U34" s="47" t="s">
        <v>84</v>
      </c>
      <c r="V34">
        <v>1</v>
      </c>
      <c r="W34" s="25">
        <v>23000</v>
      </c>
    </row>
    <row r="35" spans="1:23">
      <c r="A35" s="38" t="s">
        <v>82</v>
      </c>
      <c r="B35" s="35">
        <v>1</v>
      </c>
      <c r="C35" s="36">
        <v>28000</v>
      </c>
      <c r="D35" s="37">
        <v>28000</v>
      </c>
      <c r="F35" s="34" t="s">
        <v>78</v>
      </c>
      <c r="G35" s="34" t="s">
        <v>1</v>
      </c>
      <c r="H35" s="34" t="s">
        <v>76</v>
      </c>
      <c r="I35" s="34" t="s">
        <v>77</v>
      </c>
      <c r="P35" s="57"/>
      <c r="Q35" s="58"/>
      <c r="R35" s="59"/>
      <c r="S35" s="60"/>
      <c r="U35" s="47" t="s">
        <v>86</v>
      </c>
      <c r="V35">
        <v>0</v>
      </c>
      <c r="W35" s="25">
        <v>0</v>
      </c>
    </row>
    <row r="36" spans="1:23">
      <c r="A36" s="38" t="s">
        <v>89</v>
      </c>
      <c r="B36" s="35">
        <v>1</v>
      </c>
      <c r="C36" s="36">
        <v>6000</v>
      </c>
      <c r="D36" s="37">
        <v>0</v>
      </c>
      <c r="F36" s="38" t="s">
        <v>82</v>
      </c>
      <c r="G36" s="35">
        <v>2</v>
      </c>
      <c r="H36" s="36">
        <v>28000</v>
      </c>
      <c r="I36" s="37">
        <v>56000</v>
      </c>
      <c r="K36" s="56" t="s">
        <v>78</v>
      </c>
      <c r="L36" s="56" t="s">
        <v>1</v>
      </c>
      <c r="M36" s="56" t="s">
        <v>76</v>
      </c>
      <c r="N36" s="56" t="s">
        <v>77</v>
      </c>
      <c r="P36" s="94" t="s">
        <v>2</v>
      </c>
      <c r="Q36" s="95"/>
      <c r="R36" s="95"/>
      <c r="S36" s="61"/>
      <c r="U36" s="48" t="s">
        <v>80</v>
      </c>
      <c r="V36">
        <v>0</v>
      </c>
      <c r="W36" s="25">
        <v>0</v>
      </c>
    </row>
    <row r="37" spans="1:23">
      <c r="A37" s="38"/>
      <c r="B37" s="35"/>
      <c r="C37" s="36"/>
      <c r="D37" s="37"/>
      <c r="F37" s="38" t="s">
        <v>95</v>
      </c>
      <c r="G37" s="35">
        <v>2</v>
      </c>
      <c r="H37" s="36">
        <v>6000</v>
      </c>
      <c r="I37" s="37">
        <v>12000</v>
      </c>
      <c r="K37" s="57" t="s">
        <v>82</v>
      </c>
      <c r="L37" s="58">
        <v>1</v>
      </c>
      <c r="M37" s="59">
        <v>28000</v>
      </c>
      <c r="N37" s="60">
        <v>28000</v>
      </c>
      <c r="U37" s="48" t="s">
        <v>81</v>
      </c>
      <c r="V37">
        <v>0</v>
      </c>
      <c r="W37" s="25">
        <v>0</v>
      </c>
    </row>
    <row r="38" spans="1:23">
      <c r="A38" s="98" t="s">
        <v>2</v>
      </c>
      <c r="B38" s="99"/>
      <c r="C38" s="99"/>
      <c r="D38" s="39"/>
      <c r="F38" s="38" t="s">
        <v>88</v>
      </c>
      <c r="G38" s="35">
        <v>10</v>
      </c>
      <c r="H38" s="36">
        <v>7000</v>
      </c>
      <c r="I38" s="37">
        <v>70000</v>
      </c>
      <c r="K38" s="57" t="s">
        <v>88</v>
      </c>
      <c r="L38" s="58">
        <v>1</v>
      </c>
      <c r="M38" s="59">
        <v>7000</v>
      </c>
      <c r="N38" s="60">
        <v>7000</v>
      </c>
      <c r="P38" s="56" t="s">
        <v>78</v>
      </c>
      <c r="Q38" s="56" t="s">
        <v>1</v>
      </c>
      <c r="R38" s="56" t="s">
        <v>76</v>
      </c>
      <c r="S38" s="56" t="s">
        <v>77</v>
      </c>
      <c r="U38" s="47" t="s">
        <v>55</v>
      </c>
      <c r="V38">
        <v>0</v>
      </c>
      <c r="W38" s="25">
        <v>0</v>
      </c>
    </row>
    <row r="39" spans="1:23">
      <c r="F39" s="38" t="s">
        <v>91</v>
      </c>
      <c r="G39" s="35">
        <v>4</v>
      </c>
      <c r="H39" s="36">
        <v>15000</v>
      </c>
      <c r="I39" s="37">
        <v>60000</v>
      </c>
      <c r="K39" s="57" t="s">
        <v>94</v>
      </c>
      <c r="L39" s="58">
        <v>1</v>
      </c>
      <c r="M39" s="59">
        <v>6000</v>
      </c>
      <c r="N39" s="60">
        <v>6000</v>
      </c>
      <c r="P39" s="57" t="s">
        <v>62</v>
      </c>
      <c r="Q39" s="58">
        <v>1</v>
      </c>
      <c r="R39" s="59">
        <v>25000</v>
      </c>
      <c r="S39" s="60">
        <v>25000</v>
      </c>
      <c r="U39" s="45" t="s">
        <v>56</v>
      </c>
      <c r="V39">
        <v>0</v>
      </c>
      <c r="W39" s="25">
        <v>0</v>
      </c>
    </row>
    <row r="40" spans="1:23">
      <c r="A40" s="34" t="s">
        <v>78</v>
      </c>
      <c r="B40" s="34" t="s">
        <v>1</v>
      </c>
      <c r="C40" s="34" t="s">
        <v>76</v>
      </c>
      <c r="D40" s="34" t="s">
        <v>77</v>
      </c>
      <c r="F40" s="38"/>
      <c r="G40" s="35"/>
      <c r="H40" s="36"/>
      <c r="I40" s="37"/>
      <c r="K40" s="57" t="s">
        <v>86</v>
      </c>
      <c r="L40" s="58">
        <v>1</v>
      </c>
      <c r="M40" s="59">
        <v>28000</v>
      </c>
      <c r="N40" s="60">
        <v>28000</v>
      </c>
      <c r="P40" s="57"/>
      <c r="Q40" s="58"/>
      <c r="R40" s="59"/>
      <c r="S40" s="60"/>
      <c r="U40" s="47" t="s">
        <v>57</v>
      </c>
      <c r="V40">
        <v>0</v>
      </c>
      <c r="W40" s="25">
        <v>0</v>
      </c>
    </row>
    <row r="41" spans="1:23">
      <c r="A41" s="38" t="s">
        <v>57</v>
      </c>
      <c r="B41" s="35">
        <v>1</v>
      </c>
      <c r="C41" s="36">
        <v>36000</v>
      </c>
      <c r="D41" s="37">
        <v>36000</v>
      </c>
      <c r="F41" s="98" t="s">
        <v>2</v>
      </c>
      <c r="G41" s="99"/>
      <c r="H41" s="99"/>
      <c r="I41" s="39"/>
      <c r="K41" s="57" t="s">
        <v>88</v>
      </c>
      <c r="L41" s="58">
        <v>1</v>
      </c>
      <c r="M41" s="59">
        <v>7000</v>
      </c>
      <c r="N41" s="60">
        <v>7000</v>
      </c>
      <c r="P41" s="94" t="s">
        <v>2</v>
      </c>
      <c r="Q41" s="95"/>
      <c r="R41" s="95"/>
      <c r="S41" s="61"/>
      <c r="U41" s="45" t="s">
        <v>58</v>
      </c>
      <c r="V41">
        <v>3</v>
      </c>
      <c r="W41" s="25">
        <v>90000</v>
      </c>
    </row>
    <row r="42" spans="1:23">
      <c r="A42" s="38" t="s">
        <v>56</v>
      </c>
      <c r="B42" s="35">
        <v>1</v>
      </c>
      <c r="C42" s="36">
        <v>36000</v>
      </c>
      <c r="D42" s="37">
        <v>36000</v>
      </c>
      <c r="K42" s="57" t="s">
        <v>94</v>
      </c>
      <c r="L42" s="58">
        <v>1</v>
      </c>
      <c r="M42" s="59">
        <v>6000</v>
      </c>
      <c r="N42" s="60">
        <v>6000</v>
      </c>
      <c r="U42" s="47" t="s">
        <v>59</v>
      </c>
      <c r="V42">
        <v>0</v>
      </c>
      <c r="W42" s="25">
        <v>0</v>
      </c>
    </row>
    <row r="43" spans="1:23">
      <c r="A43" s="38"/>
      <c r="B43" s="35"/>
      <c r="C43" s="36"/>
      <c r="D43" s="37"/>
      <c r="F43" s="34" t="s">
        <v>78</v>
      </c>
      <c r="G43" s="34" t="s">
        <v>1</v>
      </c>
      <c r="H43" s="34" t="s">
        <v>76</v>
      </c>
      <c r="I43" s="34" t="s">
        <v>77</v>
      </c>
      <c r="K43" s="57"/>
      <c r="L43" s="58"/>
      <c r="M43" s="59"/>
      <c r="N43" s="60"/>
      <c r="P43" s="56" t="s">
        <v>78</v>
      </c>
      <c r="Q43" s="56" t="s">
        <v>1</v>
      </c>
      <c r="R43" s="56" t="s">
        <v>76</v>
      </c>
      <c r="S43" s="56" t="s">
        <v>77</v>
      </c>
      <c r="U43" s="45" t="s">
        <v>75</v>
      </c>
      <c r="V43">
        <v>1</v>
      </c>
      <c r="W43" s="25">
        <v>32000</v>
      </c>
    </row>
    <row r="44" spans="1:23">
      <c r="A44" s="98" t="s">
        <v>2</v>
      </c>
      <c r="B44" s="99"/>
      <c r="C44" s="99"/>
      <c r="D44" s="39"/>
      <c r="F44" s="38" t="s">
        <v>82</v>
      </c>
      <c r="G44" s="35">
        <v>1</v>
      </c>
      <c r="H44" s="36">
        <v>28000</v>
      </c>
      <c r="I44" s="37">
        <v>28000</v>
      </c>
      <c r="K44" s="94" t="s">
        <v>2</v>
      </c>
      <c r="L44" s="95"/>
      <c r="M44" s="95"/>
      <c r="N44" s="61"/>
      <c r="P44" s="57" t="s">
        <v>81</v>
      </c>
      <c r="Q44" s="58">
        <v>1</v>
      </c>
      <c r="R44" s="59">
        <v>29000</v>
      </c>
      <c r="S44" s="60">
        <v>29000</v>
      </c>
      <c r="U44" s="47" t="s">
        <v>60</v>
      </c>
      <c r="V44">
        <v>0</v>
      </c>
      <c r="W44" s="25">
        <v>0</v>
      </c>
    </row>
    <row r="45" spans="1:23">
      <c r="F45" s="38" t="s">
        <v>93</v>
      </c>
      <c r="G45" s="35">
        <v>1</v>
      </c>
      <c r="H45" s="36">
        <v>6000</v>
      </c>
      <c r="I45" s="37">
        <v>6000</v>
      </c>
      <c r="P45" s="57" t="s">
        <v>94</v>
      </c>
      <c r="Q45" s="58">
        <v>1</v>
      </c>
      <c r="R45" s="59">
        <v>6000</v>
      </c>
      <c r="S45" s="60">
        <v>6000</v>
      </c>
      <c r="U45" s="46" t="s">
        <v>61</v>
      </c>
      <c r="V45">
        <v>0</v>
      </c>
      <c r="W45" s="25">
        <v>0</v>
      </c>
    </row>
    <row r="46" spans="1:23">
      <c r="A46" s="34" t="s">
        <v>78</v>
      </c>
      <c r="B46" s="34" t="s">
        <v>1</v>
      </c>
      <c r="C46" s="34" t="s">
        <v>76</v>
      </c>
      <c r="D46" s="34" t="s">
        <v>77</v>
      </c>
      <c r="F46" s="38" t="s">
        <v>56</v>
      </c>
      <c r="G46" s="35">
        <v>1</v>
      </c>
      <c r="H46" s="36">
        <v>36000</v>
      </c>
      <c r="I46" s="37">
        <v>36000</v>
      </c>
      <c r="K46" s="56" t="s">
        <v>78</v>
      </c>
      <c r="L46" s="56" t="s">
        <v>1</v>
      </c>
      <c r="M46" s="56" t="s">
        <v>76</v>
      </c>
      <c r="N46" s="56" t="s">
        <v>77</v>
      </c>
      <c r="P46" s="57" t="s">
        <v>88</v>
      </c>
      <c r="Q46" s="58">
        <v>1</v>
      </c>
      <c r="R46" s="59">
        <v>7000</v>
      </c>
      <c r="S46" s="60">
        <v>7000</v>
      </c>
      <c r="U46" s="47" t="s">
        <v>62</v>
      </c>
      <c r="V46">
        <v>1</v>
      </c>
      <c r="W46" s="25">
        <v>25000</v>
      </c>
    </row>
    <row r="47" spans="1:23">
      <c r="A47" s="38" t="s">
        <v>82</v>
      </c>
      <c r="B47" s="35">
        <v>2</v>
      </c>
      <c r="C47" s="36">
        <v>28000</v>
      </c>
      <c r="D47" s="37">
        <v>56000</v>
      </c>
      <c r="F47" s="38"/>
      <c r="G47" s="35"/>
      <c r="H47" s="36"/>
      <c r="I47" s="37"/>
      <c r="K47" s="57" t="s">
        <v>82</v>
      </c>
      <c r="L47" s="58">
        <v>1</v>
      </c>
      <c r="M47" s="59">
        <v>28000</v>
      </c>
      <c r="N47" s="60">
        <v>28000</v>
      </c>
      <c r="P47" s="57"/>
      <c r="Q47" s="58"/>
      <c r="R47" s="59"/>
      <c r="S47" s="60"/>
      <c r="U47" s="69" t="s">
        <v>83</v>
      </c>
      <c r="V47">
        <v>2</v>
      </c>
      <c r="W47" s="25">
        <v>12000</v>
      </c>
    </row>
    <row r="48" spans="1:23">
      <c r="A48" s="38" t="s">
        <v>83</v>
      </c>
      <c r="B48" s="35">
        <v>1</v>
      </c>
      <c r="C48" s="36">
        <v>6000</v>
      </c>
      <c r="D48" s="37">
        <v>6000</v>
      </c>
      <c r="F48" s="98" t="s">
        <v>2</v>
      </c>
      <c r="G48" s="99"/>
      <c r="H48" s="99"/>
      <c r="I48" s="39"/>
      <c r="K48" s="57" t="s">
        <v>89</v>
      </c>
      <c r="L48" s="58">
        <v>1</v>
      </c>
      <c r="M48" s="59">
        <v>6000</v>
      </c>
      <c r="N48" s="60">
        <v>6000</v>
      </c>
      <c r="P48" s="94" t="s">
        <v>2</v>
      </c>
      <c r="Q48" s="95"/>
      <c r="R48" s="95"/>
      <c r="S48" s="61"/>
    </row>
    <row r="49" spans="1:19">
      <c r="A49" s="38" t="s">
        <v>79</v>
      </c>
      <c r="B49" s="35">
        <v>1</v>
      </c>
      <c r="C49" s="36" t="s">
        <v>90</v>
      </c>
      <c r="D49" s="37"/>
      <c r="K49" s="57" t="s">
        <v>95</v>
      </c>
      <c r="L49" s="58">
        <v>1</v>
      </c>
      <c r="M49" s="59">
        <v>6000</v>
      </c>
      <c r="N49" s="60">
        <v>6000</v>
      </c>
    </row>
    <row r="50" spans="1:19">
      <c r="A50" s="38"/>
      <c r="B50" s="35"/>
      <c r="C50" s="36"/>
      <c r="D50" s="37"/>
      <c r="F50" s="34" t="s">
        <v>78</v>
      </c>
      <c r="G50" s="34" t="s">
        <v>1</v>
      </c>
      <c r="H50" s="34" t="s">
        <v>76</v>
      </c>
      <c r="I50" s="34" t="s">
        <v>77</v>
      </c>
      <c r="K50" s="57"/>
      <c r="L50" s="58"/>
      <c r="M50" s="59"/>
      <c r="N50" s="60"/>
      <c r="P50" s="56" t="s">
        <v>78</v>
      </c>
      <c r="Q50" s="56" t="s">
        <v>1</v>
      </c>
      <c r="R50" s="56" t="s">
        <v>76</v>
      </c>
      <c r="S50" s="56" t="s">
        <v>77</v>
      </c>
    </row>
    <row r="51" spans="1:19">
      <c r="A51" s="98" t="s">
        <v>2</v>
      </c>
      <c r="B51" s="99"/>
      <c r="C51" s="99"/>
      <c r="D51" s="39"/>
      <c r="F51" s="38" t="s">
        <v>57</v>
      </c>
      <c r="G51" s="35">
        <v>1</v>
      </c>
      <c r="H51" s="36">
        <v>36000</v>
      </c>
      <c r="I51" s="37">
        <v>36000</v>
      </c>
      <c r="K51" s="94" t="s">
        <v>2</v>
      </c>
      <c r="L51" s="95"/>
      <c r="M51" s="95"/>
      <c r="N51" s="61"/>
      <c r="P51" s="57" t="s">
        <v>82</v>
      </c>
      <c r="Q51" s="58">
        <v>1</v>
      </c>
      <c r="R51" s="59">
        <v>28000</v>
      </c>
      <c r="S51" s="60">
        <v>28000</v>
      </c>
    </row>
    <row r="52" spans="1:19">
      <c r="F52" s="38"/>
      <c r="G52" s="35"/>
      <c r="H52" s="36"/>
      <c r="I52" s="37"/>
      <c r="P52" s="57" t="s">
        <v>86</v>
      </c>
      <c r="Q52" s="58">
        <v>1</v>
      </c>
      <c r="R52" s="59">
        <v>28000</v>
      </c>
      <c r="S52" s="60">
        <v>28000</v>
      </c>
    </row>
    <row r="53" spans="1:19">
      <c r="A53" s="34" t="s">
        <v>78</v>
      </c>
      <c r="B53" s="34" t="s">
        <v>1</v>
      </c>
      <c r="C53" s="34" t="s">
        <v>76</v>
      </c>
      <c r="D53" s="34" t="s">
        <v>77</v>
      </c>
      <c r="F53" s="98" t="s">
        <v>2</v>
      </c>
      <c r="G53" s="99"/>
      <c r="H53" s="99"/>
      <c r="I53" s="39"/>
      <c r="K53" s="56" t="s">
        <v>78</v>
      </c>
      <c r="L53" s="56" t="s">
        <v>1</v>
      </c>
      <c r="M53" s="56" t="s">
        <v>76</v>
      </c>
      <c r="N53" s="56" t="s">
        <v>77</v>
      </c>
      <c r="P53" s="57" t="s">
        <v>88</v>
      </c>
      <c r="Q53" s="58">
        <v>1</v>
      </c>
      <c r="R53" s="59">
        <v>7000</v>
      </c>
      <c r="S53" s="60">
        <v>7000</v>
      </c>
    </row>
    <row r="54" spans="1:19">
      <c r="A54" s="38" t="s">
        <v>91</v>
      </c>
      <c r="B54" s="35">
        <v>1</v>
      </c>
      <c r="C54" s="36">
        <v>15000</v>
      </c>
      <c r="D54" s="37">
        <v>15000</v>
      </c>
      <c r="K54" s="57" t="s">
        <v>82</v>
      </c>
      <c r="L54" s="58">
        <v>1</v>
      </c>
      <c r="M54" s="59">
        <v>28000</v>
      </c>
      <c r="N54" s="60">
        <v>28000</v>
      </c>
      <c r="P54" s="57"/>
      <c r="Q54" s="58"/>
      <c r="R54" s="59"/>
      <c r="S54" s="60"/>
    </row>
    <row r="55" spans="1:19">
      <c r="A55" s="38"/>
      <c r="B55" s="35"/>
      <c r="C55" s="36"/>
      <c r="D55" s="37"/>
      <c r="F55" s="34" t="s">
        <v>78</v>
      </c>
      <c r="G55" s="34" t="s">
        <v>1</v>
      </c>
      <c r="H55" s="34" t="s">
        <v>76</v>
      </c>
      <c r="I55" s="34" t="s">
        <v>77</v>
      </c>
      <c r="K55" s="57" t="s">
        <v>82</v>
      </c>
      <c r="L55" s="58">
        <v>1</v>
      </c>
      <c r="M55" s="59">
        <v>28000</v>
      </c>
      <c r="N55" s="60">
        <v>28000</v>
      </c>
      <c r="P55" s="94" t="s">
        <v>2</v>
      </c>
      <c r="Q55" s="95"/>
      <c r="R55" s="95"/>
      <c r="S55" s="61"/>
    </row>
    <row r="56" spans="1:19">
      <c r="A56" s="34" t="s">
        <v>78</v>
      </c>
      <c r="B56" s="34" t="s">
        <v>1</v>
      </c>
      <c r="C56" s="34" t="s">
        <v>76</v>
      </c>
      <c r="D56" s="34" t="s">
        <v>77</v>
      </c>
      <c r="F56" s="38" t="s">
        <v>79</v>
      </c>
      <c r="G56" s="35">
        <v>2</v>
      </c>
      <c r="H56" s="36">
        <v>23000</v>
      </c>
      <c r="I56" s="37">
        <v>46000</v>
      </c>
      <c r="K56" s="57" t="s">
        <v>83</v>
      </c>
      <c r="L56" s="58">
        <v>1</v>
      </c>
      <c r="M56" s="59">
        <v>6000</v>
      </c>
      <c r="N56" s="60">
        <v>6000</v>
      </c>
    </row>
    <row r="57" spans="1:19">
      <c r="A57" s="38" t="s">
        <v>91</v>
      </c>
      <c r="B57" s="35">
        <v>3</v>
      </c>
      <c r="C57" s="36">
        <v>15000</v>
      </c>
      <c r="D57" s="37">
        <v>45000</v>
      </c>
      <c r="F57" s="38" t="s">
        <v>83</v>
      </c>
      <c r="G57" s="35">
        <v>2</v>
      </c>
      <c r="H57" s="36">
        <v>6000</v>
      </c>
      <c r="I57" s="37">
        <v>12000</v>
      </c>
      <c r="K57" s="57" t="s">
        <v>83</v>
      </c>
      <c r="L57" s="58">
        <v>1</v>
      </c>
      <c r="M57" s="59">
        <v>6000</v>
      </c>
      <c r="N57" s="60">
        <v>6000</v>
      </c>
      <c r="P57" s="56" t="s">
        <v>78</v>
      </c>
      <c r="Q57" s="56" t="s">
        <v>1</v>
      </c>
      <c r="R57" s="56" t="s">
        <v>76</v>
      </c>
      <c r="S57" s="56" t="s">
        <v>77</v>
      </c>
    </row>
    <row r="58" spans="1:19">
      <c r="A58" s="38" t="s">
        <v>79</v>
      </c>
      <c r="B58" s="35">
        <v>3</v>
      </c>
      <c r="C58" s="36">
        <v>23000</v>
      </c>
      <c r="D58" s="37">
        <v>69000</v>
      </c>
      <c r="F58" s="38" t="s">
        <v>88</v>
      </c>
      <c r="G58" s="35">
        <v>2</v>
      </c>
      <c r="H58" s="36">
        <v>7000</v>
      </c>
      <c r="I58" s="37">
        <v>14000</v>
      </c>
      <c r="K58" s="57" t="s">
        <v>88</v>
      </c>
      <c r="L58" s="58">
        <v>10</v>
      </c>
      <c r="M58" s="59">
        <v>7000</v>
      </c>
      <c r="N58" s="60">
        <v>70000</v>
      </c>
      <c r="P58" s="57" t="s">
        <v>86</v>
      </c>
      <c r="Q58" s="58">
        <v>1</v>
      </c>
      <c r="R58" s="59">
        <v>28000</v>
      </c>
      <c r="S58" s="60">
        <v>28000</v>
      </c>
    </row>
    <row r="59" spans="1:19">
      <c r="A59" s="38" t="s">
        <v>83</v>
      </c>
      <c r="B59" s="35">
        <v>3</v>
      </c>
      <c r="C59" s="36">
        <v>6000</v>
      </c>
      <c r="D59" s="37">
        <v>18000</v>
      </c>
      <c r="F59" s="38"/>
      <c r="G59" s="35"/>
      <c r="H59" s="36"/>
      <c r="I59" s="37"/>
      <c r="K59" s="57"/>
      <c r="L59" s="58"/>
      <c r="M59" s="59"/>
      <c r="N59" s="60"/>
      <c r="P59" s="57" t="s">
        <v>58</v>
      </c>
      <c r="Q59" s="58">
        <v>1</v>
      </c>
      <c r="R59" s="59">
        <v>30000</v>
      </c>
      <c r="S59" s="60">
        <v>30000</v>
      </c>
    </row>
    <row r="60" spans="1:19">
      <c r="A60" s="38"/>
      <c r="B60" s="35"/>
      <c r="C60" s="36"/>
      <c r="D60" s="37"/>
      <c r="F60" s="98" t="s">
        <v>2</v>
      </c>
      <c r="G60" s="99"/>
      <c r="H60" s="99"/>
      <c r="I60" s="39"/>
      <c r="K60" s="94" t="s">
        <v>2</v>
      </c>
      <c r="L60" s="95"/>
      <c r="M60" s="95"/>
      <c r="N60" s="61"/>
      <c r="P60" s="57" t="s">
        <v>95</v>
      </c>
      <c r="Q60" s="58">
        <v>1</v>
      </c>
      <c r="R60" s="59">
        <v>6000</v>
      </c>
      <c r="S60" s="60">
        <v>6000</v>
      </c>
    </row>
    <row r="61" spans="1:19">
      <c r="A61" s="34" t="s">
        <v>78</v>
      </c>
      <c r="B61" s="34" t="s">
        <v>1</v>
      </c>
      <c r="C61" s="34" t="s">
        <v>76</v>
      </c>
      <c r="D61" s="34" t="s">
        <v>77</v>
      </c>
      <c r="P61" s="57"/>
      <c r="Q61" s="58"/>
      <c r="R61" s="59"/>
      <c r="S61" s="60"/>
    </row>
    <row r="62" spans="1:19">
      <c r="A62" s="38" t="s">
        <v>92</v>
      </c>
      <c r="B62" s="35">
        <v>1</v>
      </c>
      <c r="C62" s="36">
        <v>32000</v>
      </c>
      <c r="D62" s="37">
        <v>32000</v>
      </c>
      <c r="F62" s="34" t="s">
        <v>78</v>
      </c>
      <c r="G62" s="34" t="s">
        <v>1</v>
      </c>
      <c r="H62" s="34" t="s">
        <v>76</v>
      </c>
      <c r="I62" s="34" t="s">
        <v>77</v>
      </c>
      <c r="K62" s="56" t="s">
        <v>78</v>
      </c>
      <c r="L62" s="56" t="s">
        <v>1</v>
      </c>
      <c r="M62" s="56" t="s">
        <v>76</v>
      </c>
      <c r="N62" s="56" t="s">
        <v>77</v>
      </c>
      <c r="P62" s="94" t="s">
        <v>2</v>
      </c>
      <c r="Q62" s="95"/>
      <c r="R62" s="95"/>
      <c r="S62" s="61"/>
    </row>
    <row r="63" spans="1:19">
      <c r="A63" s="38" t="s">
        <v>83</v>
      </c>
      <c r="B63" s="35">
        <v>1</v>
      </c>
      <c r="C63" s="36">
        <v>6000</v>
      </c>
      <c r="D63" s="37">
        <v>6000</v>
      </c>
      <c r="F63" s="38" t="s">
        <v>81</v>
      </c>
      <c r="G63" s="35">
        <v>1</v>
      </c>
      <c r="H63" s="36">
        <v>29000</v>
      </c>
      <c r="I63" s="37">
        <v>29000</v>
      </c>
      <c r="K63" s="57" t="s">
        <v>84</v>
      </c>
      <c r="L63" s="58">
        <v>1</v>
      </c>
      <c r="M63" s="59">
        <v>23000</v>
      </c>
      <c r="N63" s="60">
        <v>23000</v>
      </c>
    </row>
    <row r="64" spans="1:19">
      <c r="A64" s="38" t="s">
        <v>82</v>
      </c>
      <c r="B64" s="35">
        <v>1</v>
      </c>
      <c r="C64" s="36">
        <v>28000</v>
      </c>
      <c r="D64" s="37">
        <v>28000</v>
      </c>
      <c r="F64" s="38" t="s">
        <v>89</v>
      </c>
      <c r="G64" s="35">
        <v>1</v>
      </c>
      <c r="H64" s="36">
        <v>6000</v>
      </c>
      <c r="I64" s="37">
        <v>6000</v>
      </c>
      <c r="K64" s="57" t="s">
        <v>84</v>
      </c>
      <c r="L64" s="58">
        <v>1</v>
      </c>
      <c r="M64" s="59">
        <v>23000</v>
      </c>
      <c r="N64" s="60">
        <v>23000</v>
      </c>
      <c r="P64" s="56" t="s">
        <v>78</v>
      </c>
      <c r="Q64" s="56" t="s">
        <v>1</v>
      </c>
      <c r="R64" s="56" t="s">
        <v>76</v>
      </c>
      <c r="S64" s="56" t="s">
        <v>77</v>
      </c>
    </row>
    <row r="65" spans="1:19">
      <c r="A65" s="38" t="s">
        <v>83</v>
      </c>
      <c r="B65" s="35">
        <v>1</v>
      </c>
      <c r="C65" s="36">
        <v>6000</v>
      </c>
      <c r="D65" s="37">
        <v>6000</v>
      </c>
      <c r="F65" s="38"/>
      <c r="G65" s="35"/>
      <c r="H65" s="36"/>
      <c r="I65" s="37"/>
      <c r="K65" s="57" t="s">
        <v>84</v>
      </c>
      <c r="L65" s="58">
        <v>1</v>
      </c>
      <c r="M65" s="59">
        <v>23000</v>
      </c>
      <c r="N65" s="60">
        <v>23000</v>
      </c>
      <c r="P65" s="57" t="s">
        <v>56</v>
      </c>
      <c r="Q65" s="58">
        <v>1</v>
      </c>
      <c r="R65" s="59">
        <v>36000</v>
      </c>
      <c r="S65" s="60">
        <v>36000</v>
      </c>
    </row>
    <row r="66" spans="1:19">
      <c r="A66" s="38" t="s">
        <v>88</v>
      </c>
      <c r="B66" s="35">
        <v>1</v>
      </c>
      <c r="C66" s="36">
        <v>7000</v>
      </c>
      <c r="D66" s="37">
        <v>7000</v>
      </c>
      <c r="F66" s="98" t="s">
        <v>2</v>
      </c>
      <c r="G66" s="99"/>
      <c r="H66" s="99"/>
      <c r="I66" s="39"/>
      <c r="K66" s="57" t="s">
        <v>84</v>
      </c>
      <c r="L66" s="58">
        <v>1</v>
      </c>
      <c r="M66" s="59">
        <v>23000</v>
      </c>
      <c r="N66" s="60">
        <v>23000</v>
      </c>
      <c r="P66" s="57" t="s">
        <v>94</v>
      </c>
      <c r="Q66" s="58">
        <v>1</v>
      </c>
      <c r="R66" s="59">
        <v>6000</v>
      </c>
      <c r="S66" s="60">
        <v>6000</v>
      </c>
    </row>
    <row r="67" spans="1:19">
      <c r="A67" s="38" t="s">
        <v>62</v>
      </c>
      <c r="B67" s="35">
        <v>1</v>
      </c>
      <c r="C67" s="36">
        <v>25000</v>
      </c>
      <c r="D67" s="37">
        <v>25000</v>
      </c>
      <c r="K67" s="57" t="s">
        <v>88</v>
      </c>
      <c r="L67" s="58">
        <v>1</v>
      </c>
      <c r="M67" s="59">
        <v>7000</v>
      </c>
      <c r="N67" s="60">
        <v>7000</v>
      </c>
      <c r="P67" s="57"/>
      <c r="Q67" s="58"/>
      <c r="R67" s="59"/>
      <c r="S67" s="60"/>
    </row>
    <row r="68" spans="1:19">
      <c r="A68" s="38" t="s">
        <v>82</v>
      </c>
      <c r="B68" s="35">
        <v>1</v>
      </c>
      <c r="C68" s="36">
        <v>28000</v>
      </c>
      <c r="D68" s="37">
        <v>28000</v>
      </c>
      <c r="F68" s="34" t="s">
        <v>78</v>
      </c>
      <c r="G68" s="34" t="s">
        <v>1</v>
      </c>
      <c r="H68" s="34" t="s">
        <v>76</v>
      </c>
      <c r="I68" s="34" t="s">
        <v>77</v>
      </c>
      <c r="K68" s="57" t="s">
        <v>60</v>
      </c>
      <c r="L68" s="58">
        <v>1</v>
      </c>
      <c r="M68" s="59">
        <v>32000</v>
      </c>
      <c r="N68" s="60">
        <v>32000</v>
      </c>
      <c r="P68" s="94" t="s">
        <v>2</v>
      </c>
      <c r="Q68" s="95"/>
      <c r="R68" s="95"/>
      <c r="S68" s="61"/>
    </row>
    <row r="69" spans="1:19">
      <c r="A69" s="38" t="s">
        <v>93</v>
      </c>
      <c r="B69" s="35">
        <v>1</v>
      </c>
      <c r="C69" s="36">
        <v>6000</v>
      </c>
      <c r="D69" s="37">
        <v>6000</v>
      </c>
      <c r="F69" s="38" t="s">
        <v>60</v>
      </c>
      <c r="G69" s="35">
        <v>1</v>
      </c>
      <c r="H69" s="36">
        <v>32000</v>
      </c>
      <c r="I69" s="37">
        <v>32000</v>
      </c>
      <c r="K69" s="57" t="s">
        <v>75</v>
      </c>
      <c r="L69" s="58">
        <v>1</v>
      </c>
      <c r="M69" s="59">
        <v>32000</v>
      </c>
      <c r="N69" s="60">
        <v>32000</v>
      </c>
    </row>
    <row r="70" spans="1:19">
      <c r="A70" s="38" t="s">
        <v>86</v>
      </c>
      <c r="B70" s="35">
        <v>1</v>
      </c>
      <c r="C70" s="36">
        <v>28000</v>
      </c>
      <c r="D70" s="37">
        <v>28000</v>
      </c>
      <c r="F70" s="38" t="s">
        <v>57</v>
      </c>
      <c r="G70" s="35">
        <v>1</v>
      </c>
      <c r="H70" s="36">
        <v>36000</v>
      </c>
      <c r="I70" s="37">
        <v>36000</v>
      </c>
      <c r="K70" s="57"/>
      <c r="L70" s="58"/>
      <c r="M70" s="59"/>
      <c r="N70" s="60"/>
      <c r="P70" s="56" t="s">
        <v>78</v>
      </c>
      <c r="Q70" s="56" t="s">
        <v>1</v>
      </c>
      <c r="R70" s="56" t="s">
        <v>76</v>
      </c>
      <c r="S70" s="56" t="s">
        <v>77</v>
      </c>
    </row>
    <row r="71" spans="1:19">
      <c r="A71" s="38" t="s">
        <v>89</v>
      </c>
      <c r="B71" s="35">
        <v>1</v>
      </c>
      <c r="C71" s="36">
        <v>6000</v>
      </c>
      <c r="D71" s="37">
        <v>6000</v>
      </c>
      <c r="F71" s="38"/>
      <c r="G71" s="35"/>
      <c r="H71" s="36"/>
      <c r="I71" s="37"/>
      <c r="K71" s="94" t="s">
        <v>2</v>
      </c>
      <c r="L71" s="95"/>
      <c r="M71" s="95"/>
      <c r="N71" s="61">
        <v>163000</v>
      </c>
      <c r="P71" s="57" t="s">
        <v>79</v>
      </c>
      <c r="Q71" s="58">
        <v>1</v>
      </c>
      <c r="R71" s="59">
        <v>23000</v>
      </c>
      <c r="S71" s="60">
        <v>23000</v>
      </c>
    </row>
    <row r="72" spans="1:19">
      <c r="A72" s="38"/>
      <c r="B72" s="35"/>
      <c r="C72" s="36"/>
      <c r="D72" s="37"/>
      <c r="F72" s="98" t="s">
        <v>2</v>
      </c>
      <c r="G72" s="99"/>
      <c r="H72" s="99"/>
      <c r="I72" s="39"/>
      <c r="P72" s="57" t="s">
        <v>89</v>
      </c>
      <c r="Q72" s="58">
        <v>1</v>
      </c>
      <c r="R72" s="59">
        <v>6000</v>
      </c>
      <c r="S72" s="60">
        <v>6000</v>
      </c>
    </row>
    <row r="73" spans="1:19">
      <c r="A73" s="98" t="s">
        <v>2</v>
      </c>
      <c r="B73" s="99"/>
      <c r="C73" s="99"/>
      <c r="D73" s="39"/>
      <c r="K73" s="56" t="s">
        <v>78</v>
      </c>
      <c r="L73" s="56" t="s">
        <v>1</v>
      </c>
      <c r="M73" s="56" t="s">
        <v>76</v>
      </c>
      <c r="N73" s="56" t="s">
        <v>77</v>
      </c>
      <c r="P73" s="57" t="s">
        <v>86</v>
      </c>
      <c r="Q73" s="58">
        <v>1</v>
      </c>
      <c r="R73" s="59">
        <v>28000</v>
      </c>
      <c r="S73" s="60">
        <v>28000</v>
      </c>
    </row>
    <row r="74" spans="1:19">
      <c r="F74" s="34" t="s">
        <v>78</v>
      </c>
      <c r="G74" s="34" t="s">
        <v>1</v>
      </c>
      <c r="H74" s="34" t="s">
        <v>76</v>
      </c>
      <c r="I74" s="34" t="s">
        <v>77</v>
      </c>
      <c r="K74" s="57" t="s">
        <v>82</v>
      </c>
      <c r="L74" s="58">
        <v>2</v>
      </c>
      <c r="M74" s="59">
        <v>28000</v>
      </c>
      <c r="N74" s="60">
        <v>56000</v>
      </c>
      <c r="P74" s="57"/>
      <c r="Q74" s="58"/>
      <c r="R74" s="59"/>
      <c r="S74" s="60"/>
    </row>
    <row r="75" spans="1:19">
      <c r="A75" s="34" t="s">
        <v>78</v>
      </c>
      <c r="B75" s="34" t="s">
        <v>1</v>
      </c>
      <c r="C75" s="34" t="s">
        <v>76</v>
      </c>
      <c r="D75" s="34" t="s">
        <v>77</v>
      </c>
      <c r="F75" s="38" t="s">
        <v>75</v>
      </c>
      <c r="G75" s="35">
        <v>1</v>
      </c>
      <c r="H75" s="36">
        <v>32000</v>
      </c>
      <c r="I75" s="37">
        <v>32000</v>
      </c>
      <c r="K75" s="57"/>
      <c r="L75" s="58"/>
      <c r="M75" s="59"/>
      <c r="N75" s="60"/>
      <c r="P75" s="94" t="s">
        <v>2</v>
      </c>
      <c r="Q75" s="95"/>
      <c r="R75" s="95"/>
      <c r="S75" s="61">
        <v>57000</v>
      </c>
    </row>
    <row r="76" spans="1:19">
      <c r="A76" s="38" t="s">
        <v>91</v>
      </c>
      <c r="B76" s="35">
        <v>2</v>
      </c>
      <c r="C76" s="36">
        <v>15000</v>
      </c>
      <c r="D76" s="37">
        <v>30000</v>
      </c>
      <c r="F76" s="38" t="s">
        <v>61</v>
      </c>
      <c r="G76" s="35">
        <v>1</v>
      </c>
      <c r="H76" s="36">
        <v>28000</v>
      </c>
      <c r="I76" s="37">
        <v>28000</v>
      </c>
      <c r="K76" s="94" t="s">
        <v>2</v>
      </c>
      <c r="L76" s="95"/>
      <c r="M76" s="95"/>
      <c r="N76" s="61">
        <v>56000</v>
      </c>
    </row>
    <row r="77" spans="1:19">
      <c r="A77" s="38"/>
      <c r="B77" s="35"/>
      <c r="C77" s="36"/>
      <c r="D77" s="37"/>
      <c r="F77" s="38"/>
      <c r="G77" s="35"/>
      <c r="H77" s="36"/>
      <c r="I77" s="37"/>
      <c r="P77" s="56" t="s">
        <v>78</v>
      </c>
      <c r="Q77" s="56" t="s">
        <v>1</v>
      </c>
      <c r="R77" s="56" t="s">
        <v>76</v>
      </c>
      <c r="S77" s="56" t="s">
        <v>77</v>
      </c>
    </row>
    <row r="78" spans="1:19">
      <c r="A78" s="98" t="s">
        <v>2</v>
      </c>
      <c r="B78" s="99"/>
      <c r="C78" s="99"/>
      <c r="D78" s="39"/>
      <c r="F78" s="98" t="s">
        <v>2</v>
      </c>
      <c r="G78" s="99"/>
      <c r="H78" s="99"/>
      <c r="I78" s="39"/>
      <c r="K78" s="56" t="s">
        <v>78</v>
      </c>
      <c r="L78" s="56" t="s">
        <v>1</v>
      </c>
      <c r="M78" s="56" t="s">
        <v>76</v>
      </c>
      <c r="N78" s="56" t="s">
        <v>77</v>
      </c>
      <c r="P78" s="57" t="s">
        <v>79</v>
      </c>
      <c r="Q78" s="58">
        <v>1</v>
      </c>
      <c r="R78" s="59">
        <v>23000</v>
      </c>
      <c r="S78" s="60">
        <v>23000</v>
      </c>
    </row>
    <row r="79" spans="1:19">
      <c r="K79" s="57" t="s">
        <v>56</v>
      </c>
      <c r="L79" s="58">
        <v>1</v>
      </c>
      <c r="M79" s="59">
        <v>36000</v>
      </c>
      <c r="N79" s="60">
        <v>36000</v>
      </c>
      <c r="P79" s="57" t="s">
        <v>86</v>
      </c>
      <c r="Q79" s="58">
        <v>1</v>
      </c>
      <c r="R79" s="59">
        <v>28000</v>
      </c>
      <c r="S79" s="60">
        <v>28000</v>
      </c>
    </row>
    <row r="80" spans="1:19">
      <c r="A80" s="34" t="s">
        <v>78</v>
      </c>
      <c r="B80" s="34" t="s">
        <v>1</v>
      </c>
      <c r="C80" s="34" t="s">
        <v>76</v>
      </c>
      <c r="D80" s="34" t="s">
        <v>77</v>
      </c>
      <c r="F80" s="34" t="s">
        <v>78</v>
      </c>
      <c r="G80" s="34" t="s">
        <v>1</v>
      </c>
      <c r="H80" s="34" t="s">
        <v>76</v>
      </c>
      <c r="I80" s="34" t="s">
        <v>77</v>
      </c>
      <c r="K80" s="57" t="s">
        <v>86</v>
      </c>
      <c r="L80" s="58">
        <v>1</v>
      </c>
      <c r="M80" s="59">
        <v>28000</v>
      </c>
      <c r="N80" s="60">
        <v>28000</v>
      </c>
      <c r="P80" s="57"/>
      <c r="Q80" s="58"/>
      <c r="R80" s="59"/>
      <c r="S80" s="60"/>
    </row>
    <row r="81" spans="1:19">
      <c r="A81" s="38" t="s">
        <v>86</v>
      </c>
      <c r="B81" s="35">
        <v>1</v>
      </c>
      <c r="C81" s="36">
        <v>28000</v>
      </c>
      <c r="D81" s="37">
        <v>28000</v>
      </c>
      <c r="F81" s="38" t="s">
        <v>60</v>
      </c>
      <c r="G81" s="35">
        <v>1</v>
      </c>
      <c r="H81" s="36">
        <v>32000</v>
      </c>
      <c r="I81" s="37">
        <v>32000</v>
      </c>
      <c r="K81" s="57"/>
      <c r="L81" s="58"/>
      <c r="M81" s="59"/>
      <c r="N81" s="60"/>
      <c r="P81" s="94" t="s">
        <v>2</v>
      </c>
      <c r="Q81" s="95"/>
      <c r="R81" s="95"/>
      <c r="S81" s="61"/>
    </row>
    <row r="82" spans="1:19">
      <c r="A82" s="38" t="s">
        <v>79</v>
      </c>
      <c r="B82" s="35">
        <v>1</v>
      </c>
      <c r="C82" s="36">
        <v>23000</v>
      </c>
      <c r="D82" s="37">
        <v>23000</v>
      </c>
      <c r="F82" s="38"/>
      <c r="G82" s="35"/>
      <c r="H82" s="36"/>
      <c r="I82" s="37"/>
      <c r="K82" s="94" t="s">
        <v>2</v>
      </c>
      <c r="L82" s="95"/>
      <c r="M82" s="95"/>
      <c r="N82" s="61">
        <v>64000</v>
      </c>
    </row>
    <row r="83" spans="1:19">
      <c r="A83" s="38" t="s">
        <v>83</v>
      </c>
      <c r="B83" s="35">
        <v>2</v>
      </c>
      <c r="C83" s="36">
        <v>6000</v>
      </c>
      <c r="D83" s="37">
        <v>0</v>
      </c>
      <c r="F83" s="98" t="s">
        <v>2</v>
      </c>
      <c r="G83" s="99"/>
      <c r="H83" s="99"/>
      <c r="I83" s="39"/>
      <c r="P83" s="56" t="s">
        <v>78</v>
      </c>
      <c r="Q83" s="56" t="s">
        <v>1</v>
      </c>
      <c r="R83" s="56" t="s">
        <v>76</v>
      </c>
      <c r="S83" s="56" t="s">
        <v>77</v>
      </c>
    </row>
    <row r="84" spans="1:19">
      <c r="A84" s="38"/>
      <c r="B84" s="35"/>
      <c r="C84" s="36"/>
      <c r="D84" s="37"/>
      <c r="K84" s="56" t="s">
        <v>78</v>
      </c>
      <c r="L84" s="56" t="s">
        <v>1</v>
      </c>
      <c r="M84" s="56" t="s">
        <v>76</v>
      </c>
      <c r="N84" s="56" t="s">
        <v>77</v>
      </c>
      <c r="P84" s="57" t="s">
        <v>57</v>
      </c>
      <c r="Q84" s="58">
        <v>1</v>
      </c>
      <c r="R84" s="59">
        <v>36000</v>
      </c>
      <c r="S84" s="60">
        <v>36000</v>
      </c>
    </row>
    <row r="85" spans="1:19">
      <c r="A85" s="98" t="s">
        <v>2</v>
      </c>
      <c r="B85" s="99"/>
      <c r="C85" s="99"/>
      <c r="D85" s="39"/>
      <c r="F85" s="34" t="s">
        <v>78</v>
      </c>
      <c r="G85" s="34" t="s">
        <v>1</v>
      </c>
      <c r="H85" s="34" t="s">
        <v>76</v>
      </c>
      <c r="I85" s="34" t="s">
        <v>77</v>
      </c>
      <c r="K85" s="57" t="s">
        <v>81</v>
      </c>
      <c r="L85" s="58">
        <v>1</v>
      </c>
      <c r="M85" s="59">
        <v>29000</v>
      </c>
      <c r="N85" s="60">
        <v>29000</v>
      </c>
      <c r="P85" s="57" t="s">
        <v>94</v>
      </c>
      <c r="Q85" s="58">
        <v>1</v>
      </c>
      <c r="R85" s="59">
        <v>6000</v>
      </c>
      <c r="S85" s="60">
        <v>6000</v>
      </c>
    </row>
    <row r="86" spans="1:19">
      <c r="F86" s="38" t="s">
        <v>60</v>
      </c>
      <c r="G86" s="35">
        <v>1</v>
      </c>
      <c r="H86" s="36">
        <v>32000</v>
      </c>
      <c r="I86" s="37">
        <v>32000</v>
      </c>
      <c r="K86" s="57" t="s">
        <v>83</v>
      </c>
      <c r="L86" s="58">
        <v>1</v>
      </c>
      <c r="M86" s="59">
        <v>6000</v>
      </c>
      <c r="N86" s="60">
        <v>6000</v>
      </c>
      <c r="P86" s="57"/>
      <c r="Q86" s="58"/>
      <c r="R86" s="59"/>
      <c r="S86" s="60"/>
    </row>
    <row r="87" spans="1:19">
      <c r="A87" s="34" t="s">
        <v>78</v>
      </c>
      <c r="B87" s="34" t="s">
        <v>1</v>
      </c>
      <c r="C87" s="34" t="s">
        <v>76</v>
      </c>
      <c r="D87" s="34" t="s">
        <v>77</v>
      </c>
      <c r="F87" s="38"/>
      <c r="G87" s="35"/>
      <c r="H87" s="36"/>
      <c r="I87" s="37"/>
      <c r="K87" s="57" t="s">
        <v>89</v>
      </c>
      <c r="L87" s="58">
        <v>1</v>
      </c>
      <c r="M87" s="59">
        <v>6000</v>
      </c>
      <c r="N87" s="60">
        <v>6000</v>
      </c>
      <c r="P87" s="94" t="s">
        <v>2</v>
      </c>
      <c r="Q87" s="95"/>
      <c r="R87" s="95"/>
      <c r="S87" s="61"/>
    </row>
    <row r="88" spans="1:19">
      <c r="A88" s="38" t="s">
        <v>82</v>
      </c>
      <c r="B88" s="35">
        <v>2</v>
      </c>
      <c r="C88" s="36">
        <v>28000</v>
      </c>
      <c r="D88" s="37">
        <v>56000</v>
      </c>
      <c r="F88" s="98" t="s">
        <v>2</v>
      </c>
      <c r="G88" s="99"/>
      <c r="H88" s="99"/>
      <c r="I88" s="39">
        <v>32000</v>
      </c>
      <c r="K88" s="57" t="s">
        <v>88</v>
      </c>
      <c r="L88" s="58">
        <v>1</v>
      </c>
      <c r="M88" s="59">
        <v>7000</v>
      </c>
      <c r="N88" s="60">
        <v>7000</v>
      </c>
    </row>
    <row r="89" spans="1:19">
      <c r="A89" s="38" t="s">
        <v>89</v>
      </c>
      <c r="B89" s="35">
        <v>2</v>
      </c>
      <c r="C89" s="36">
        <v>6000</v>
      </c>
      <c r="D89" s="37">
        <v>12000</v>
      </c>
      <c r="K89" s="57" t="s">
        <v>94</v>
      </c>
      <c r="L89" s="58">
        <v>1</v>
      </c>
      <c r="M89" s="59">
        <v>6000</v>
      </c>
      <c r="N89" s="60">
        <v>6000</v>
      </c>
      <c r="P89" s="56" t="s">
        <v>78</v>
      </c>
      <c r="Q89" s="56" t="s">
        <v>1</v>
      </c>
      <c r="R89" s="56" t="s">
        <v>76</v>
      </c>
      <c r="S89" s="56" t="s">
        <v>77</v>
      </c>
    </row>
    <row r="90" spans="1:19">
      <c r="A90" s="38" t="s">
        <v>94</v>
      </c>
      <c r="B90" s="35">
        <v>2</v>
      </c>
      <c r="C90" s="36">
        <v>6000</v>
      </c>
      <c r="D90" s="37">
        <v>12000</v>
      </c>
      <c r="F90" s="34" t="s">
        <v>78</v>
      </c>
      <c r="G90" s="34" t="s">
        <v>1</v>
      </c>
      <c r="H90" s="34" t="s">
        <v>76</v>
      </c>
      <c r="I90" s="34" t="s">
        <v>77</v>
      </c>
      <c r="K90" s="57" t="s">
        <v>95</v>
      </c>
      <c r="L90" s="58">
        <v>1</v>
      </c>
      <c r="M90" s="59">
        <v>6000</v>
      </c>
      <c r="N90" s="60">
        <v>6000</v>
      </c>
      <c r="P90" s="57" t="s">
        <v>79</v>
      </c>
      <c r="Q90" s="58">
        <v>1</v>
      </c>
      <c r="R90" s="59">
        <v>23000</v>
      </c>
      <c r="S90" s="60">
        <v>23000</v>
      </c>
    </row>
    <row r="91" spans="1:19">
      <c r="A91" s="38" t="s">
        <v>93</v>
      </c>
      <c r="B91" s="35">
        <v>2</v>
      </c>
      <c r="C91" s="36">
        <v>6000</v>
      </c>
      <c r="D91" s="37">
        <v>12000</v>
      </c>
      <c r="F91" s="38" t="s">
        <v>57</v>
      </c>
      <c r="G91" s="35">
        <v>1</v>
      </c>
      <c r="H91" s="36">
        <v>36000</v>
      </c>
      <c r="I91" s="37">
        <v>36000</v>
      </c>
      <c r="K91" s="57" t="s">
        <v>93</v>
      </c>
      <c r="L91" s="58">
        <v>1</v>
      </c>
      <c r="M91" s="59">
        <v>6000</v>
      </c>
      <c r="N91" s="60">
        <v>6000</v>
      </c>
      <c r="P91" s="57" t="s">
        <v>88</v>
      </c>
      <c r="Q91" s="58">
        <v>1</v>
      </c>
      <c r="R91" s="59">
        <v>7000</v>
      </c>
      <c r="S91" s="60">
        <v>7000</v>
      </c>
    </row>
    <row r="92" spans="1:19">
      <c r="A92" s="38"/>
      <c r="B92" s="35"/>
      <c r="C92" s="36"/>
      <c r="D92" s="37"/>
      <c r="F92" s="38"/>
      <c r="G92" s="35"/>
      <c r="H92" s="36"/>
      <c r="I92" s="37"/>
      <c r="K92" s="57"/>
      <c r="L92" s="58"/>
      <c r="M92" s="59"/>
      <c r="N92" s="60"/>
      <c r="P92" s="57" t="s">
        <v>80</v>
      </c>
      <c r="Q92" s="58">
        <v>1</v>
      </c>
      <c r="R92" s="59">
        <v>24000</v>
      </c>
      <c r="S92" s="60">
        <v>24000</v>
      </c>
    </row>
    <row r="93" spans="1:19">
      <c r="A93" s="98" t="s">
        <v>2</v>
      </c>
      <c r="B93" s="99"/>
      <c r="C93" s="99"/>
      <c r="D93" s="39"/>
      <c r="F93" s="98" t="s">
        <v>2</v>
      </c>
      <c r="G93" s="99"/>
      <c r="H93" s="99"/>
      <c r="I93" s="39"/>
      <c r="K93" s="94" t="s">
        <v>2</v>
      </c>
      <c r="L93" s="95"/>
      <c r="M93" s="95"/>
      <c r="N93" s="61">
        <v>66000</v>
      </c>
      <c r="P93" s="57" t="s">
        <v>95</v>
      </c>
      <c r="Q93" s="58">
        <v>1</v>
      </c>
      <c r="R93" s="59">
        <v>6000</v>
      </c>
      <c r="S93" s="60">
        <v>6000</v>
      </c>
    </row>
    <row r="94" spans="1:19">
      <c r="P94" s="57"/>
      <c r="Q94" s="58"/>
      <c r="R94" s="59"/>
      <c r="S94" s="60"/>
    </row>
    <row r="95" spans="1:19">
      <c r="A95" s="34" t="s">
        <v>78</v>
      </c>
      <c r="B95" s="34" t="s">
        <v>1</v>
      </c>
      <c r="C95" s="34" t="s">
        <v>76</v>
      </c>
      <c r="D95" s="34" t="s">
        <v>77</v>
      </c>
      <c r="F95" s="34" t="s">
        <v>78</v>
      </c>
      <c r="G95" s="34" t="s">
        <v>1</v>
      </c>
      <c r="H95" s="34" t="s">
        <v>76</v>
      </c>
      <c r="I95" s="34" t="s">
        <v>77</v>
      </c>
      <c r="K95" s="56" t="s">
        <v>78</v>
      </c>
      <c r="L95" s="56" t="s">
        <v>1</v>
      </c>
      <c r="M95" s="56" t="s">
        <v>76</v>
      </c>
      <c r="N95" s="56" t="s">
        <v>77</v>
      </c>
      <c r="P95" s="94" t="s">
        <v>2</v>
      </c>
      <c r="Q95" s="95"/>
      <c r="R95" s="95"/>
      <c r="S95" s="61"/>
    </row>
    <row r="96" spans="1:19">
      <c r="A96" s="38" t="s">
        <v>93</v>
      </c>
      <c r="B96" s="35">
        <v>2</v>
      </c>
      <c r="C96" s="36">
        <v>6000</v>
      </c>
      <c r="D96" s="37">
        <v>12000</v>
      </c>
      <c r="F96" s="38" t="s">
        <v>57</v>
      </c>
      <c r="G96" s="35">
        <v>1</v>
      </c>
      <c r="H96" s="36">
        <v>36000</v>
      </c>
      <c r="I96" s="37">
        <v>36000</v>
      </c>
      <c r="K96" s="57" t="s">
        <v>58</v>
      </c>
      <c r="L96" s="58">
        <v>2</v>
      </c>
      <c r="M96" s="59">
        <v>30000</v>
      </c>
      <c r="N96" s="60">
        <v>60000</v>
      </c>
    </row>
    <row r="97" spans="1:19">
      <c r="A97" s="38"/>
      <c r="B97" s="35"/>
      <c r="C97" s="36"/>
      <c r="D97" s="37"/>
      <c r="F97" s="38" t="s">
        <v>81</v>
      </c>
      <c r="G97" s="35">
        <v>1</v>
      </c>
      <c r="H97" s="36">
        <v>29000</v>
      </c>
      <c r="I97" s="37">
        <v>29000</v>
      </c>
      <c r="K97" s="57" t="s">
        <v>75</v>
      </c>
      <c r="L97" s="58">
        <v>1</v>
      </c>
      <c r="M97" s="59">
        <v>32000</v>
      </c>
      <c r="N97" s="60">
        <v>32000</v>
      </c>
      <c r="P97" s="56" t="s">
        <v>78</v>
      </c>
      <c r="Q97" s="56" t="s">
        <v>1</v>
      </c>
      <c r="R97" s="56" t="s">
        <v>76</v>
      </c>
      <c r="S97" s="56" t="s">
        <v>77</v>
      </c>
    </row>
    <row r="98" spans="1:19">
      <c r="A98" s="98" t="s">
        <v>2</v>
      </c>
      <c r="B98" s="99"/>
      <c r="C98" s="99"/>
      <c r="D98" s="39"/>
      <c r="F98" s="38" t="s">
        <v>93</v>
      </c>
      <c r="G98" s="35">
        <v>1</v>
      </c>
      <c r="H98" s="36">
        <v>6000</v>
      </c>
      <c r="I98" s="37">
        <v>6000</v>
      </c>
      <c r="K98" s="57" t="s">
        <v>62</v>
      </c>
      <c r="L98" s="58">
        <v>1</v>
      </c>
      <c r="M98" s="59">
        <v>25000</v>
      </c>
      <c r="N98" s="60">
        <v>25000</v>
      </c>
      <c r="P98" s="57" t="s">
        <v>86</v>
      </c>
      <c r="Q98" s="58">
        <v>1</v>
      </c>
      <c r="R98" s="59">
        <v>28000</v>
      </c>
      <c r="S98" s="60">
        <v>28000</v>
      </c>
    </row>
    <row r="99" spans="1:19">
      <c r="F99" s="38" t="s">
        <v>87</v>
      </c>
      <c r="G99" s="35">
        <v>1</v>
      </c>
      <c r="H99" s="36">
        <v>7000</v>
      </c>
      <c r="I99" s="37">
        <v>7000</v>
      </c>
      <c r="K99" s="57"/>
      <c r="L99" s="58"/>
      <c r="M99" s="59"/>
      <c r="N99" s="60"/>
      <c r="P99" s="57" t="s">
        <v>94</v>
      </c>
      <c r="Q99" s="58">
        <v>1</v>
      </c>
      <c r="R99" s="59">
        <v>6000</v>
      </c>
      <c r="S99" s="60">
        <v>6000</v>
      </c>
    </row>
    <row r="100" spans="1:19">
      <c r="A100" s="34" t="s">
        <v>78</v>
      </c>
      <c r="B100" s="34" t="s">
        <v>1</v>
      </c>
      <c r="C100" s="34" t="s">
        <v>76</v>
      </c>
      <c r="D100" s="34" t="s">
        <v>77</v>
      </c>
      <c r="F100" s="38"/>
      <c r="G100" s="35"/>
      <c r="H100" s="36"/>
      <c r="I100" s="37"/>
      <c r="K100" s="94" t="s">
        <v>2</v>
      </c>
      <c r="L100" s="95"/>
      <c r="M100" s="95"/>
      <c r="N100" s="61">
        <v>117000</v>
      </c>
      <c r="P100" s="57"/>
      <c r="Q100" s="58"/>
      <c r="R100" s="59"/>
      <c r="S100" s="60"/>
    </row>
    <row r="101" spans="1:19">
      <c r="A101" s="38" t="s">
        <v>82</v>
      </c>
      <c r="B101" s="35">
        <v>1</v>
      </c>
      <c r="C101" s="36">
        <v>28000</v>
      </c>
      <c r="D101" s="37">
        <v>28000</v>
      </c>
      <c r="F101" s="98" t="s">
        <v>2</v>
      </c>
      <c r="G101" s="99"/>
      <c r="H101" s="99"/>
      <c r="I101" s="39"/>
      <c r="P101" s="94" t="s">
        <v>2</v>
      </c>
      <c r="Q101" s="95"/>
      <c r="R101" s="95"/>
      <c r="S101" s="61"/>
    </row>
    <row r="102" spans="1:19">
      <c r="A102" s="38" t="s">
        <v>86</v>
      </c>
      <c r="B102" s="35">
        <v>1</v>
      </c>
      <c r="C102" s="36">
        <v>28000</v>
      </c>
      <c r="D102" s="37">
        <v>28000</v>
      </c>
      <c r="K102" s="56" t="s">
        <v>78</v>
      </c>
      <c r="L102" s="56" t="s">
        <v>1</v>
      </c>
      <c r="M102" s="56" t="s">
        <v>76</v>
      </c>
      <c r="N102" s="56" t="s">
        <v>77</v>
      </c>
    </row>
    <row r="103" spans="1:19">
      <c r="A103" s="38"/>
      <c r="B103" s="35"/>
      <c r="C103" s="36"/>
      <c r="D103" s="37"/>
      <c r="F103" s="34" t="s">
        <v>78</v>
      </c>
      <c r="G103" s="34" t="s">
        <v>1</v>
      </c>
      <c r="H103" s="34" t="s">
        <v>76</v>
      </c>
      <c r="I103" s="34" t="s">
        <v>77</v>
      </c>
      <c r="K103" s="57" t="s">
        <v>58</v>
      </c>
      <c r="L103" s="58">
        <v>2</v>
      </c>
      <c r="M103" s="59">
        <v>30000</v>
      </c>
      <c r="N103" s="60">
        <v>60000</v>
      </c>
      <c r="P103" s="56" t="s">
        <v>78</v>
      </c>
      <c r="Q103" s="56" t="s">
        <v>1</v>
      </c>
      <c r="R103" s="56" t="s">
        <v>76</v>
      </c>
      <c r="S103" s="56" t="s">
        <v>77</v>
      </c>
    </row>
    <row r="104" spans="1:19">
      <c r="A104" s="98" t="s">
        <v>2</v>
      </c>
      <c r="B104" s="99"/>
      <c r="C104" s="99"/>
      <c r="D104" s="39"/>
      <c r="F104" s="38" t="s">
        <v>57</v>
      </c>
      <c r="G104" s="35">
        <v>1</v>
      </c>
      <c r="H104" s="36">
        <v>36000</v>
      </c>
      <c r="I104" s="37">
        <v>36000</v>
      </c>
      <c r="K104" s="57" t="s">
        <v>75</v>
      </c>
      <c r="L104" s="58">
        <v>1</v>
      </c>
      <c r="M104" s="59">
        <v>32000</v>
      </c>
      <c r="N104" s="60">
        <v>32000</v>
      </c>
      <c r="P104" s="57" t="s">
        <v>62</v>
      </c>
      <c r="Q104" s="58">
        <v>1</v>
      </c>
      <c r="R104" s="59">
        <v>25000</v>
      </c>
      <c r="S104" s="60">
        <v>25000</v>
      </c>
    </row>
    <row r="105" spans="1:19">
      <c r="F105" s="38"/>
      <c r="G105" s="35"/>
      <c r="H105" s="36"/>
      <c r="I105" s="37"/>
      <c r="K105" s="57" t="s">
        <v>62</v>
      </c>
      <c r="L105" s="58">
        <v>1</v>
      </c>
      <c r="M105" s="59">
        <v>25000</v>
      </c>
      <c r="N105" s="60">
        <v>25000</v>
      </c>
      <c r="P105" s="57" t="s">
        <v>89</v>
      </c>
      <c r="Q105" s="58">
        <v>1</v>
      </c>
      <c r="R105" s="59">
        <v>6000</v>
      </c>
      <c r="S105" s="60">
        <v>6000</v>
      </c>
    </row>
    <row r="106" spans="1:19">
      <c r="A106" s="34" t="s">
        <v>78</v>
      </c>
      <c r="B106" s="34" t="s">
        <v>1</v>
      </c>
      <c r="C106" s="34" t="s">
        <v>76</v>
      </c>
      <c r="D106" s="34" t="s">
        <v>77</v>
      </c>
      <c r="F106" s="98" t="s">
        <v>2</v>
      </c>
      <c r="G106" s="99"/>
      <c r="H106" s="99"/>
      <c r="I106" s="39"/>
      <c r="K106" s="57"/>
      <c r="L106" s="58"/>
      <c r="M106" s="59"/>
      <c r="N106" s="60"/>
      <c r="P106" s="57" t="s">
        <v>94</v>
      </c>
      <c r="Q106" s="58">
        <v>1</v>
      </c>
      <c r="R106" s="59">
        <v>6000</v>
      </c>
      <c r="S106" s="60">
        <v>6000</v>
      </c>
    </row>
    <row r="107" spans="1:19">
      <c r="A107" s="38" t="s">
        <v>57</v>
      </c>
      <c r="B107" s="35">
        <v>1</v>
      </c>
      <c r="C107" s="36">
        <v>36000</v>
      </c>
      <c r="D107" s="37">
        <v>36000</v>
      </c>
      <c r="K107" s="94" t="s">
        <v>2</v>
      </c>
      <c r="L107" s="95"/>
      <c r="M107" s="95"/>
      <c r="N107" s="61">
        <v>117000</v>
      </c>
      <c r="P107" s="57"/>
      <c r="Q107" s="58"/>
      <c r="R107" s="59"/>
      <c r="S107" s="60"/>
    </row>
    <row r="108" spans="1:19">
      <c r="A108" s="38"/>
      <c r="B108" s="35"/>
      <c r="C108" s="36"/>
      <c r="D108" s="37"/>
      <c r="F108" s="34" t="s">
        <v>78</v>
      </c>
      <c r="G108" s="34" t="s">
        <v>1</v>
      </c>
      <c r="H108" s="34" t="s">
        <v>76</v>
      </c>
      <c r="I108" s="34" t="s">
        <v>77</v>
      </c>
      <c r="P108" s="94" t="s">
        <v>2</v>
      </c>
      <c r="Q108" s="95"/>
      <c r="R108" s="95"/>
      <c r="S108" s="61"/>
    </row>
    <row r="109" spans="1:19">
      <c r="A109" s="98" t="s">
        <v>2</v>
      </c>
      <c r="B109" s="99"/>
      <c r="C109" s="99"/>
      <c r="D109" s="39"/>
      <c r="F109" s="38" t="s">
        <v>86</v>
      </c>
      <c r="G109" s="35">
        <v>1</v>
      </c>
      <c r="H109" s="36">
        <v>28000</v>
      </c>
      <c r="I109" s="37">
        <v>28000</v>
      </c>
      <c r="K109" s="56" t="s">
        <v>78</v>
      </c>
      <c r="L109" s="56" t="s">
        <v>1</v>
      </c>
      <c r="M109" s="56" t="s">
        <v>76</v>
      </c>
      <c r="N109" s="56" t="s">
        <v>77</v>
      </c>
    </row>
    <row r="110" spans="1:19">
      <c r="F110" s="38" t="s">
        <v>87</v>
      </c>
      <c r="G110" s="35">
        <v>1</v>
      </c>
      <c r="H110" s="36">
        <v>7000</v>
      </c>
      <c r="I110" s="37">
        <v>7000</v>
      </c>
      <c r="K110" s="57" t="s">
        <v>79</v>
      </c>
      <c r="L110" s="58">
        <v>1</v>
      </c>
      <c r="M110" s="59">
        <v>23000</v>
      </c>
      <c r="N110" s="60">
        <v>23000</v>
      </c>
      <c r="P110" s="56" t="s">
        <v>78</v>
      </c>
      <c r="Q110" s="56" t="s">
        <v>1</v>
      </c>
      <c r="R110" s="56" t="s">
        <v>76</v>
      </c>
      <c r="S110" s="56" t="s">
        <v>77</v>
      </c>
    </row>
    <row r="111" spans="1:19">
      <c r="A111" s="34" t="s">
        <v>78</v>
      </c>
      <c r="B111" s="34" t="s">
        <v>1</v>
      </c>
      <c r="C111" s="34" t="s">
        <v>76</v>
      </c>
      <c r="D111" s="34" t="s">
        <v>77</v>
      </c>
      <c r="F111" s="38" t="s">
        <v>93</v>
      </c>
      <c r="G111" s="35">
        <v>1</v>
      </c>
      <c r="H111" s="36">
        <v>6000</v>
      </c>
      <c r="I111" s="37">
        <v>6000</v>
      </c>
      <c r="K111" s="57"/>
      <c r="L111" s="58"/>
      <c r="M111" s="59"/>
      <c r="N111" s="60"/>
      <c r="P111" s="57" t="s">
        <v>84</v>
      </c>
      <c r="Q111" s="58">
        <v>1</v>
      </c>
      <c r="R111" s="59">
        <v>23000</v>
      </c>
      <c r="S111" s="60">
        <v>23000</v>
      </c>
    </row>
    <row r="112" spans="1:19">
      <c r="A112" s="38" t="s">
        <v>86</v>
      </c>
      <c r="B112" s="35">
        <v>2</v>
      </c>
      <c r="C112" s="36">
        <v>28000</v>
      </c>
      <c r="D112" s="37">
        <v>56000</v>
      </c>
      <c r="F112" s="38"/>
      <c r="G112" s="35"/>
      <c r="H112" s="36"/>
      <c r="I112" s="37"/>
      <c r="K112" s="94" t="s">
        <v>2</v>
      </c>
      <c r="L112" s="95"/>
      <c r="M112" s="95"/>
      <c r="N112" s="61">
        <v>23000</v>
      </c>
      <c r="P112" s="57"/>
      <c r="Q112" s="58"/>
      <c r="R112" s="59"/>
      <c r="S112" s="60"/>
    </row>
    <row r="113" spans="1:19">
      <c r="A113" s="38" t="s">
        <v>89</v>
      </c>
      <c r="B113" s="35">
        <v>2</v>
      </c>
      <c r="C113" s="36">
        <v>6000</v>
      </c>
      <c r="D113" s="37">
        <v>12000</v>
      </c>
      <c r="F113" s="98" t="s">
        <v>2</v>
      </c>
      <c r="G113" s="99"/>
      <c r="H113" s="99"/>
      <c r="I113" s="39"/>
      <c r="P113" s="94" t="s">
        <v>2</v>
      </c>
      <c r="Q113" s="95"/>
      <c r="R113" s="95"/>
      <c r="S113" s="61"/>
    </row>
    <row r="114" spans="1:19">
      <c r="A114" s="38"/>
      <c r="B114" s="35"/>
      <c r="C114" s="36"/>
      <c r="D114" s="37"/>
      <c r="K114" s="56" t="s">
        <v>78</v>
      </c>
      <c r="L114" s="56" t="s">
        <v>1</v>
      </c>
      <c r="M114" s="56" t="s">
        <v>76</v>
      </c>
      <c r="N114" s="56" t="s">
        <v>77</v>
      </c>
    </row>
    <row r="115" spans="1:19">
      <c r="A115" s="98" t="s">
        <v>2</v>
      </c>
      <c r="B115" s="99"/>
      <c r="C115" s="99"/>
      <c r="D115" s="39"/>
      <c r="K115" s="57" t="s">
        <v>84</v>
      </c>
      <c r="L115" s="58">
        <v>1</v>
      </c>
      <c r="M115" s="59">
        <v>23000</v>
      </c>
      <c r="N115" s="60">
        <v>23000</v>
      </c>
      <c r="P115" s="56" t="s">
        <v>78</v>
      </c>
      <c r="Q115" s="56" t="s">
        <v>1</v>
      </c>
      <c r="R115" s="56" t="s">
        <v>76</v>
      </c>
      <c r="S115" s="56" t="s">
        <v>77</v>
      </c>
    </row>
    <row r="116" spans="1:19">
      <c r="K116" s="57"/>
      <c r="L116" s="58"/>
      <c r="M116" s="59"/>
      <c r="N116" s="60"/>
      <c r="P116" s="57" t="s">
        <v>55</v>
      </c>
      <c r="Q116" s="58">
        <v>1</v>
      </c>
      <c r="R116" s="59">
        <v>35000</v>
      </c>
      <c r="S116" s="60">
        <v>35000</v>
      </c>
    </row>
    <row r="117" spans="1:19">
      <c r="A117" s="34" t="s">
        <v>78</v>
      </c>
      <c r="B117" s="34" t="s">
        <v>1</v>
      </c>
      <c r="C117" s="34" t="s">
        <v>76</v>
      </c>
      <c r="D117" s="34" t="s">
        <v>77</v>
      </c>
      <c r="K117" s="94" t="s">
        <v>2</v>
      </c>
      <c r="L117" s="95"/>
      <c r="M117" s="95"/>
      <c r="N117" s="61">
        <v>23000</v>
      </c>
      <c r="P117" s="57" t="s">
        <v>75</v>
      </c>
      <c r="Q117" s="58">
        <v>1</v>
      </c>
      <c r="R117" s="59">
        <v>32000</v>
      </c>
      <c r="S117" s="60">
        <v>32000</v>
      </c>
    </row>
    <row r="118" spans="1:19">
      <c r="A118" s="38" t="s">
        <v>58</v>
      </c>
      <c r="B118" s="35">
        <v>1</v>
      </c>
      <c r="C118" s="36">
        <v>30000</v>
      </c>
      <c r="D118" s="37">
        <v>30000</v>
      </c>
      <c r="P118" s="57"/>
      <c r="Q118" s="58"/>
      <c r="R118" s="59"/>
      <c r="S118" s="60"/>
    </row>
    <row r="119" spans="1:19">
      <c r="A119" s="38" t="s">
        <v>82</v>
      </c>
      <c r="B119" s="35">
        <v>1</v>
      </c>
      <c r="C119" s="36">
        <v>28000</v>
      </c>
      <c r="D119" s="37">
        <v>28000</v>
      </c>
      <c r="K119" s="56" t="s">
        <v>78</v>
      </c>
      <c r="L119" s="56" t="s">
        <v>1</v>
      </c>
      <c r="M119" s="56" t="s">
        <v>76</v>
      </c>
      <c r="N119" s="56" t="s">
        <v>77</v>
      </c>
      <c r="P119" s="94" t="s">
        <v>2</v>
      </c>
      <c r="Q119" s="95"/>
      <c r="R119" s="95"/>
      <c r="S119" s="61"/>
    </row>
    <row r="120" spans="1:19">
      <c r="A120" s="38" t="s">
        <v>93</v>
      </c>
      <c r="B120" s="35">
        <v>1</v>
      </c>
      <c r="C120" s="36">
        <v>6000</v>
      </c>
      <c r="D120" s="37">
        <v>6000</v>
      </c>
      <c r="K120" s="57" t="s">
        <v>91</v>
      </c>
      <c r="L120" s="58">
        <v>1</v>
      </c>
      <c r="M120" s="59">
        <v>15000</v>
      </c>
      <c r="N120" s="60">
        <v>15000</v>
      </c>
    </row>
    <row r="121" spans="1:19">
      <c r="A121" s="38" t="s">
        <v>81</v>
      </c>
      <c r="B121" s="35">
        <v>1</v>
      </c>
      <c r="C121" s="36">
        <v>29000</v>
      </c>
      <c r="D121" s="37">
        <v>29000</v>
      </c>
      <c r="K121" s="57"/>
      <c r="L121" s="58"/>
      <c r="M121" s="59"/>
      <c r="N121" s="60"/>
    </row>
    <row r="122" spans="1:19">
      <c r="A122" s="38" t="s">
        <v>83</v>
      </c>
      <c r="B122" s="35">
        <v>1</v>
      </c>
      <c r="C122" s="36">
        <v>6000</v>
      </c>
      <c r="D122" s="37">
        <v>6000</v>
      </c>
      <c r="K122" s="94" t="s">
        <v>2</v>
      </c>
      <c r="L122" s="95"/>
      <c r="M122" s="95"/>
      <c r="N122" s="61">
        <v>15000</v>
      </c>
    </row>
    <row r="123" spans="1:19">
      <c r="A123" s="38" t="s">
        <v>84</v>
      </c>
      <c r="B123" s="35">
        <v>1</v>
      </c>
      <c r="C123" s="36">
        <v>23000</v>
      </c>
      <c r="D123" s="37">
        <v>23000</v>
      </c>
    </row>
    <row r="124" spans="1:19">
      <c r="A124" s="38"/>
      <c r="B124" s="35"/>
      <c r="C124" s="36"/>
      <c r="D124" s="37"/>
      <c r="K124" s="56" t="s">
        <v>78</v>
      </c>
      <c r="L124" s="56" t="s">
        <v>1</v>
      </c>
      <c r="M124" s="56" t="s">
        <v>76</v>
      </c>
      <c r="N124" s="56" t="s">
        <v>77</v>
      </c>
    </row>
    <row r="125" spans="1:19">
      <c r="A125" s="98" t="s">
        <v>2</v>
      </c>
      <c r="B125" s="99"/>
      <c r="C125" s="99"/>
      <c r="D125" s="39"/>
      <c r="K125" s="57" t="s">
        <v>58</v>
      </c>
      <c r="L125" s="58">
        <v>1</v>
      </c>
      <c r="M125" s="59">
        <v>30000</v>
      </c>
      <c r="N125" s="60">
        <v>30000</v>
      </c>
    </row>
    <row r="126" spans="1:19">
      <c r="K126" s="57" t="s">
        <v>62</v>
      </c>
      <c r="L126" s="58">
        <v>1</v>
      </c>
      <c r="M126" s="59">
        <v>25000</v>
      </c>
      <c r="N126" s="60">
        <v>25000</v>
      </c>
    </row>
    <row r="127" spans="1:19">
      <c r="A127" s="34" t="s">
        <v>78</v>
      </c>
      <c r="B127" s="34" t="s">
        <v>1</v>
      </c>
      <c r="C127" s="34" t="s">
        <v>76</v>
      </c>
      <c r="D127" s="34" t="s">
        <v>77</v>
      </c>
      <c r="K127" s="57"/>
      <c r="L127" s="58"/>
      <c r="M127" s="59"/>
      <c r="N127" s="60"/>
    </row>
    <row r="128" spans="1:19">
      <c r="A128" s="38" t="s">
        <v>58</v>
      </c>
      <c r="B128" s="35">
        <v>1</v>
      </c>
      <c r="C128" s="36">
        <v>30000</v>
      </c>
      <c r="D128" s="37">
        <v>30000</v>
      </c>
      <c r="K128" s="94" t="s">
        <v>2</v>
      </c>
      <c r="L128" s="95"/>
      <c r="M128" s="95"/>
      <c r="N128" s="61">
        <v>55000</v>
      </c>
    </row>
    <row r="129" spans="1:14">
      <c r="A129" s="38" t="s">
        <v>80</v>
      </c>
      <c r="B129" s="35">
        <v>1</v>
      </c>
      <c r="C129" s="36">
        <v>24000</v>
      </c>
      <c r="D129" s="37">
        <v>24000</v>
      </c>
    </row>
    <row r="130" spans="1:14">
      <c r="A130" s="38"/>
      <c r="B130" s="35"/>
      <c r="C130" s="36"/>
      <c r="D130" s="37"/>
      <c r="K130" s="56" t="s">
        <v>97</v>
      </c>
      <c r="L130" s="56" t="s">
        <v>1</v>
      </c>
      <c r="M130" s="56" t="s">
        <v>76</v>
      </c>
      <c r="N130" s="56" t="s">
        <v>77</v>
      </c>
    </row>
    <row r="131" spans="1:14">
      <c r="A131" s="98" t="s">
        <v>2</v>
      </c>
      <c r="B131" s="99"/>
      <c r="C131" s="99"/>
      <c r="D131" s="39"/>
      <c r="K131" s="57" t="s">
        <v>82</v>
      </c>
      <c r="L131" s="58">
        <v>1</v>
      </c>
      <c r="M131" s="59">
        <v>28000</v>
      </c>
      <c r="N131" s="60">
        <v>28000</v>
      </c>
    </row>
    <row r="132" spans="1:14">
      <c r="K132" s="57"/>
      <c r="L132" s="58"/>
      <c r="M132" s="59"/>
      <c r="N132" s="60"/>
    </row>
    <row r="133" spans="1:14">
      <c r="A133" s="34" t="s">
        <v>78</v>
      </c>
      <c r="B133" s="34" t="s">
        <v>1</v>
      </c>
      <c r="C133" s="34" t="s">
        <v>76</v>
      </c>
      <c r="D133" s="34" t="s">
        <v>77</v>
      </c>
      <c r="K133" s="94" t="s">
        <v>2</v>
      </c>
      <c r="L133" s="95"/>
      <c r="M133" s="95"/>
      <c r="N133" s="61">
        <v>28000</v>
      </c>
    </row>
    <row r="134" spans="1:14">
      <c r="A134" s="38" t="s">
        <v>84</v>
      </c>
      <c r="B134" s="35">
        <v>1</v>
      </c>
      <c r="C134" s="36">
        <v>23000</v>
      </c>
      <c r="D134" s="37">
        <v>23000</v>
      </c>
    </row>
    <row r="135" spans="1:14">
      <c r="A135" s="38" t="s">
        <v>87</v>
      </c>
      <c r="B135" s="35">
        <v>1</v>
      </c>
      <c r="C135" s="36">
        <v>7000</v>
      </c>
      <c r="D135" s="37">
        <v>7000</v>
      </c>
      <c r="K135" s="56" t="s">
        <v>97</v>
      </c>
      <c r="L135" s="56" t="s">
        <v>1</v>
      </c>
      <c r="M135" s="56" t="s">
        <v>76</v>
      </c>
      <c r="N135" s="56" t="s">
        <v>77</v>
      </c>
    </row>
    <row r="136" spans="1:14">
      <c r="A136" s="38" t="s">
        <v>93</v>
      </c>
      <c r="B136" s="35">
        <v>1</v>
      </c>
      <c r="C136" s="36">
        <v>6000</v>
      </c>
      <c r="D136" s="37">
        <v>6000</v>
      </c>
      <c r="K136" s="57" t="s">
        <v>82</v>
      </c>
      <c r="L136" s="58">
        <v>4</v>
      </c>
      <c r="M136" s="59">
        <v>28000</v>
      </c>
      <c r="N136" s="60">
        <v>112000</v>
      </c>
    </row>
    <row r="137" spans="1:14">
      <c r="A137" s="38" t="s">
        <v>88</v>
      </c>
      <c r="B137" s="35">
        <v>1</v>
      </c>
      <c r="C137" s="36">
        <v>7000</v>
      </c>
      <c r="D137" s="37">
        <v>7000</v>
      </c>
      <c r="K137" s="57" t="s">
        <v>86</v>
      </c>
      <c r="L137" s="58">
        <v>1</v>
      </c>
      <c r="M137" s="59">
        <v>28000</v>
      </c>
      <c r="N137" s="60">
        <v>28000</v>
      </c>
    </row>
    <row r="138" spans="1:14">
      <c r="A138" s="38"/>
      <c r="B138" s="35"/>
      <c r="C138" s="36"/>
      <c r="D138" s="37"/>
      <c r="K138" s="57" t="s">
        <v>87</v>
      </c>
      <c r="L138" s="58">
        <v>1</v>
      </c>
      <c r="M138" s="59">
        <v>7000</v>
      </c>
      <c r="N138" s="60">
        <v>7000</v>
      </c>
    </row>
    <row r="139" spans="1:14">
      <c r="A139" s="98" t="s">
        <v>2</v>
      </c>
      <c r="B139" s="99"/>
      <c r="C139" s="99"/>
      <c r="D139" s="39"/>
      <c r="K139" s="57"/>
      <c r="L139" s="58"/>
      <c r="M139" s="59"/>
      <c r="N139" s="60"/>
    </row>
    <row r="140" spans="1:14">
      <c r="K140" s="94" t="s">
        <v>2</v>
      </c>
      <c r="L140" s="95"/>
      <c r="M140" s="95"/>
      <c r="N140" s="61">
        <v>147000</v>
      </c>
    </row>
    <row r="141" spans="1:14">
      <c r="A141" s="34" t="s">
        <v>78</v>
      </c>
      <c r="B141" s="34" t="s">
        <v>1</v>
      </c>
      <c r="C141" s="34" t="s">
        <v>76</v>
      </c>
      <c r="D141" s="34" t="s">
        <v>77</v>
      </c>
    </row>
    <row r="142" spans="1:14">
      <c r="A142" s="38" t="s">
        <v>79</v>
      </c>
      <c r="B142" s="35">
        <v>2</v>
      </c>
      <c r="C142" s="36">
        <v>23000</v>
      </c>
      <c r="D142" s="37">
        <v>46000</v>
      </c>
      <c r="K142" s="56" t="s">
        <v>97</v>
      </c>
      <c r="L142" s="56" t="s">
        <v>1</v>
      </c>
      <c r="M142" s="56" t="s">
        <v>76</v>
      </c>
      <c r="N142" s="56" t="s">
        <v>77</v>
      </c>
    </row>
    <row r="143" spans="1:14">
      <c r="A143" s="38" t="s">
        <v>93</v>
      </c>
      <c r="B143" s="35">
        <v>1</v>
      </c>
      <c r="C143" s="36">
        <v>6000</v>
      </c>
      <c r="D143" s="37">
        <v>6000</v>
      </c>
      <c r="K143" s="57" t="s">
        <v>80</v>
      </c>
      <c r="L143" s="58">
        <v>2</v>
      </c>
      <c r="M143" s="59">
        <v>24000</v>
      </c>
      <c r="N143" s="60">
        <v>48000</v>
      </c>
    </row>
    <row r="144" spans="1:14">
      <c r="A144" s="38" t="s">
        <v>95</v>
      </c>
      <c r="B144" s="35">
        <v>1</v>
      </c>
      <c r="C144" s="36">
        <v>6000</v>
      </c>
      <c r="D144" s="37">
        <v>6000</v>
      </c>
      <c r="K144" s="57"/>
      <c r="L144" s="58"/>
      <c r="M144" s="59"/>
      <c r="N144" s="60"/>
    </row>
    <row r="145" spans="1:14">
      <c r="A145" s="38"/>
      <c r="B145" s="35"/>
      <c r="C145" s="36"/>
      <c r="D145" s="37"/>
      <c r="K145" s="94" t="s">
        <v>2</v>
      </c>
      <c r="L145" s="95"/>
      <c r="M145" s="95"/>
      <c r="N145" s="61">
        <v>48000</v>
      </c>
    </row>
    <row r="146" spans="1:14">
      <c r="A146" s="98" t="s">
        <v>2</v>
      </c>
      <c r="B146" s="99"/>
      <c r="C146" s="99"/>
      <c r="D146" s="39"/>
    </row>
    <row r="148" spans="1:14">
      <c r="A148" s="34" t="s">
        <v>78</v>
      </c>
      <c r="B148" s="34" t="s">
        <v>1</v>
      </c>
      <c r="C148" s="34" t="s">
        <v>76</v>
      </c>
      <c r="D148" s="34" t="s">
        <v>77</v>
      </c>
    </row>
    <row r="149" spans="1:14">
      <c r="A149" s="38" t="s">
        <v>57</v>
      </c>
      <c r="B149" s="35">
        <v>1</v>
      </c>
      <c r="C149" s="36">
        <v>36000</v>
      </c>
      <c r="D149" s="37">
        <v>36000</v>
      </c>
    </row>
    <row r="150" spans="1:14">
      <c r="A150" s="38" t="s">
        <v>82</v>
      </c>
      <c r="B150" s="35">
        <v>1</v>
      </c>
      <c r="C150" s="36">
        <v>28000</v>
      </c>
      <c r="D150" s="37">
        <v>28000</v>
      </c>
    </row>
    <row r="151" spans="1:14">
      <c r="A151" s="38"/>
      <c r="B151" s="35"/>
      <c r="C151" s="36"/>
      <c r="D151" s="37"/>
    </row>
    <row r="152" spans="1:14">
      <c r="A152" s="98" t="s">
        <v>2</v>
      </c>
      <c r="B152" s="99"/>
      <c r="C152" s="99"/>
      <c r="D152" s="39"/>
    </row>
    <row r="154" spans="1:14">
      <c r="A154" s="34" t="s">
        <v>78</v>
      </c>
      <c r="B154" s="34" t="s">
        <v>1</v>
      </c>
      <c r="C154" s="34" t="s">
        <v>76</v>
      </c>
      <c r="D154" s="34" t="s">
        <v>77</v>
      </c>
    </row>
    <row r="155" spans="1:14">
      <c r="A155" s="38" t="s">
        <v>79</v>
      </c>
      <c r="B155" s="35">
        <v>1</v>
      </c>
      <c r="C155" s="36">
        <v>23000</v>
      </c>
      <c r="D155" s="37">
        <v>23000</v>
      </c>
    </row>
    <row r="156" spans="1:14">
      <c r="A156" s="38" t="s">
        <v>84</v>
      </c>
      <c r="B156" s="35">
        <v>1</v>
      </c>
      <c r="C156" s="36">
        <v>23000</v>
      </c>
      <c r="D156" s="37">
        <v>23000</v>
      </c>
    </row>
    <row r="157" spans="1:14">
      <c r="A157" s="38"/>
      <c r="B157" s="35"/>
      <c r="C157" s="36"/>
      <c r="D157" s="37"/>
    </row>
    <row r="158" spans="1:14">
      <c r="A158" s="98" t="s">
        <v>2</v>
      </c>
      <c r="B158" s="99"/>
      <c r="C158" s="99"/>
      <c r="D158" s="39"/>
    </row>
    <row r="160" spans="1:14">
      <c r="A160" s="34" t="s">
        <v>78</v>
      </c>
      <c r="B160" s="34" t="s">
        <v>1</v>
      </c>
      <c r="C160" s="34" t="s">
        <v>76</v>
      </c>
      <c r="D160" s="34" t="s">
        <v>77</v>
      </c>
    </row>
    <row r="161" spans="1:4">
      <c r="A161" s="38" t="s">
        <v>58</v>
      </c>
      <c r="B161" s="35">
        <v>1</v>
      </c>
      <c r="C161" s="36">
        <v>30000</v>
      </c>
      <c r="D161" s="37">
        <v>30000</v>
      </c>
    </row>
    <row r="162" spans="1:4">
      <c r="A162" s="38" t="s">
        <v>81</v>
      </c>
      <c r="B162" s="35">
        <v>1</v>
      </c>
      <c r="C162" s="36">
        <v>29000</v>
      </c>
      <c r="D162" s="37">
        <v>29000</v>
      </c>
    </row>
    <row r="163" spans="1:4">
      <c r="A163" s="38"/>
      <c r="B163" s="35"/>
      <c r="C163" s="36"/>
      <c r="D163" s="37"/>
    </row>
    <row r="164" spans="1:4">
      <c r="A164" s="98" t="s">
        <v>2</v>
      </c>
      <c r="B164" s="99"/>
      <c r="C164" s="99"/>
      <c r="D164" s="39">
        <v>59000</v>
      </c>
    </row>
    <row r="166" spans="1:4">
      <c r="A166" s="34" t="s">
        <v>78</v>
      </c>
      <c r="B166" s="34" t="s">
        <v>1</v>
      </c>
      <c r="C166" s="34" t="s">
        <v>76</v>
      </c>
      <c r="D166" s="34" t="s">
        <v>77</v>
      </c>
    </row>
    <row r="167" spans="1:4">
      <c r="A167" s="38" t="s">
        <v>58</v>
      </c>
      <c r="B167" s="35">
        <v>2</v>
      </c>
      <c r="C167" s="36">
        <v>30000</v>
      </c>
      <c r="D167" s="37">
        <v>60000</v>
      </c>
    </row>
    <row r="168" spans="1:4">
      <c r="A168" s="38"/>
      <c r="B168" s="35"/>
      <c r="C168" s="36"/>
      <c r="D168" s="37"/>
    </row>
    <row r="169" spans="1:4">
      <c r="A169" s="98" t="s">
        <v>2</v>
      </c>
      <c r="B169" s="99"/>
      <c r="C169" s="99"/>
      <c r="D169" s="39"/>
    </row>
    <row r="171" spans="1:4">
      <c r="A171" s="34" t="s">
        <v>78</v>
      </c>
      <c r="B171" s="34" t="s">
        <v>1</v>
      </c>
      <c r="C171" s="34" t="s">
        <v>76</v>
      </c>
      <c r="D171" s="34" t="s">
        <v>77</v>
      </c>
    </row>
    <row r="172" spans="1:4">
      <c r="A172" s="38" t="s">
        <v>82</v>
      </c>
      <c r="B172" s="35">
        <v>5</v>
      </c>
      <c r="C172" s="36">
        <v>28000</v>
      </c>
      <c r="D172" s="37">
        <v>140000</v>
      </c>
    </row>
    <row r="173" spans="1:4">
      <c r="A173" s="38" t="s">
        <v>83</v>
      </c>
      <c r="B173" s="35">
        <v>5</v>
      </c>
      <c r="C173" s="36">
        <v>6000</v>
      </c>
      <c r="D173" s="37">
        <v>30000</v>
      </c>
    </row>
    <row r="174" spans="1:4">
      <c r="A174" s="38" t="s">
        <v>89</v>
      </c>
      <c r="B174" s="35">
        <v>5</v>
      </c>
      <c r="C174" s="36">
        <v>6000</v>
      </c>
      <c r="D174" s="37">
        <v>30000</v>
      </c>
    </row>
    <row r="175" spans="1:4">
      <c r="A175" s="38" t="s">
        <v>88</v>
      </c>
      <c r="B175" s="35">
        <v>5</v>
      </c>
      <c r="C175" s="36">
        <v>7000</v>
      </c>
      <c r="D175" s="37">
        <v>35000</v>
      </c>
    </row>
    <row r="176" spans="1:4">
      <c r="A176" s="38"/>
      <c r="B176" s="35"/>
      <c r="C176" s="36"/>
      <c r="D176" s="37"/>
    </row>
    <row r="177" spans="1:4">
      <c r="A177" s="98" t="s">
        <v>2</v>
      </c>
      <c r="B177" s="99"/>
      <c r="C177" s="99"/>
      <c r="D177" s="39"/>
    </row>
    <row r="179" spans="1:4">
      <c r="A179" s="34" t="s">
        <v>78</v>
      </c>
      <c r="B179" s="34" t="s">
        <v>1</v>
      </c>
      <c r="C179" s="34" t="s">
        <v>76</v>
      </c>
      <c r="D179" s="34" t="s">
        <v>77</v>
      </c>
    </row>
    <row r="180" spans="1:4">
      <c r="A180" s="38" t="s">
        <v>58</v>
      </c>
      <c r="B180" s="35">
        <v>1</v>
      </c>
      <c r="C180" s="36">
        <v>30000</v>
      </c>
      <c r="D180" s="37">
        <v>30000</v>
      </c>
    </row>
    <row r="181" spans="1:4">
      <c r="A181" s="38" t="s">
        <v>57</v>
      </c>
      <c r="B181" s="35">
        <v>2</v>
      </c>
      <c r="C181" s="36">
        <v>36000</v>
      </c>
      <c r="D181" s="37">
        <v>72000</v>
      </c>
    </row>
    <row r="182" spans="1:4">
      <c r="A182" s="38" t="s">
        <v>61</v>
      </c>
      <c r="B182" s="35">
        <v>1</v>
      </c>
      <c r="C182" s="36">
        <v>28000</v>
      </c>
      <c r="D182" s="37">
        <v>28000</v>
      </c>
    </row>
    <row r="183" spans="1:4">
      <c r="A183" s="38" t="s">
        <v>82</v>
      </c>
      <c r="B183" s="35">
        <v>1</v>
      </c>
      <c r="C183" s="36">
        <v>28000</v>
      </c>
      <c r="D183" s="37">
        <v>28000</v>
      </c>
    </row>
    <row r="184" spans="1:4">
      <c r="A184" s="38" t="s">
        <v>87</v>
      </c>
      <c r="B184" s="35">
        <v>1</v>
      </c>
      <c r="C184" s="36">
        <v>7000</v>
      </c>
      <c r="D184" s="37">
        <v>7000</v>
      </c>
    </row>
    <row r="185" spans="1:4">
      <c r="A185" s="38"/>
      <c r="B185" s="35"/>
      <c r="C185" s="36"/>
      <c r="D185" s="37"/>
    </row>
    <row r="186" spans="1:4">
      <c r="A186" s="98" t="s">
        <v>2</v>
      </c>
      <c r="B186" s="99"/>
      <c r="C186" s="99"/>
      <c r="D186" s="39"/>
    </row>
    <row r="188" spans="1:4">
      <c r="A188" s="34" t="s">
        <v>78</v>
      </c>
      <c r="B188" s="34" t="s">
        <v>1</v>
      </c>
      <c r="C188" s="34" t="s">
        <v>76</v>
      </c>
      <c r="D188" s="34" t="s">
        <v>77</v>
      </c>
    </row>
    <row r="189" spans="1:4">
      <c r="A189" s="38" t="s">
        <v>75</v>
      </c>
      <c r="B189" s="35">
        <v>1</v>
      </c>
      <c r="C189" s="36">
        <v>32000</v>
      </c>
      <c r="D189" s="37">
        <v>32000</v>
      </c>
    </row>
    <row r="190" spans="1:4">
      <c r="A190" s="38" t="s">
        <v>82</v>
      </c>
      <c r="B190" s="35">
        <v>1</v>
      </c>
      <c r="C190" s="36">
        <v>28000</v>
      </c>
      <c r="D190" s="37">
        <v>28000</v>
      </c>
    </row>
    <row r="191" spans="1:4">
      <c r="A191" s="38" t="s">
        <v>83</v>
      </c>
      <c r="B191" s="35">
        <v>1</v>
      </c>
      <c r="C191" s="36">
        <v>6000</v>
      </c>
      <c r="D191" s="37">
        <v>6000</v>
      </c>
    </row>
    <row r="192" spans="1:4">
      <c r="A192" s="38" t="s">
        <v>89</v>
      </c>
      <c r="B192" s="35">
        <v>1</v>
      </c>
      <c r="C192" s="36">
        <v>6000</v>
      </c>
      <c r="D192" s="37">
        <v>6000</v>
      </c>
    </row>
    <row r="193" spans="1:4">
      <c r="A193" s="38" t="s">
        <v>88</v>
      </c>
      <c r="B193" s="35">
        <v>1</v>
      </c>
      <c r="C193" s="36">
        <v>7000</v>
      </c>
      <c r="D193" s="37">
        <v>7000</v>
      </c>
    </row>
    <row r="194" spans="1:4">
      <c r="A194" s="38" t="s">
        <v>94</v>
      </c>
      <c r="B194" s="35">
        <v>1</v>
      </c>
      <c r="C194" s="36">
        <v>6000</v>
      </c>
      <c r="D194" s="37">
        <v>6000</v>
      </c>
    </row>
    <row r="195" spans="1:4">
      <c r="A195" s="38" t="s">
        <v>93</v>
      </c>
      <c r="B195" s="35">
        <v>1</v>
      </c>
      <c r="C195" s="36">
        <v>6000</v>
      </c>
      <c r="D195" s="37">
        <v>6000</v>
      </c>
    </row>
    <row r="196" spans="1:4">
      <c r="A196" s="38" t="s">
        <v>95</v>
      </c>
      <c r="B196" s="35">
        <v>1</v>
      </c>
      <c r="C196" s="36">
        <v>6000</v>
      </c>
      <c r="D196" s="37">
        <v>6000</v>
      </c>
    </row>
    <row r="197" spans="1:4">
      <c r="A197" s="38" t="s">
        <v>87</v>
      </c>
      <c r="B197" s="35">
        <v>1</v>
      </c>
      <c r="C197" s="36">
        <v>7000</v>
      </c>
      <c r="D197" s="37">
        <v>7000</v>
      </c>
    </row>
    <row r="198" spans="1:4">
      <c r="A198" s="38"/>
      <c r="B198" s="35"/>
      <c r="C198" s="36"/>
      <c r="D198" s="37"/>
    </row>
    <row r="199" spans="1:4">
      <c r="A199" s="98" t="s">
        <v>2</v>
      </c>
      <c r="B199" s="99"/>
      <c r="C199" s="99"/>
      <c r="D199" s="39"/>
    </row>
    <row r="201" spans="1:4">
      <c r="A201" s="34" t="s">
        <v>78</v>
      </c>
      <c r="B201" s="34" t="s">
        <v>1</v>
      </c>
      <c r="C201" s="34" t="s">
        <v>76</v>
      </c>
      <c r="D201" s="34" t="s">
        <v>77</v>
      </c>
    </row>
    <row r="202" spans="1:4">
      <c r="A202" s="38" t="s">
        <v>56</v>
      </c>
      <c r="B202" s="35">
        <v>1</v>
      </c>
      <c r="C202" s="36">
        <v>36000</v>
      </c>
      <c r="D202" s="37">
        <v>36000</v>
      </c>
    </row>
    <row r="203" spans="1:4">
      <c r="A203" s="38" t="s">
        <v>83</v>
      </c>
      <c r="B203" s="35">
        <v>1</v>
      </c>
      <c r="C203" s="36">
        <v>6000</v>
      </c>
      <c r="D203" s="37">
        <v>6000</v>
      </c>
    </row>
    <row r="204" spans="1:4">
      <c r="A204" s="38" t="s">
        <v>55</v>
      </c>
      <c r="B204" s="35">
        <v>1</v>
      </c>
      <c r="C204" s="36">
        <v>35000</v>
      </c>
      <c r="D204" s="37">
        <v>35000</v>
      </c>
    </row>
    <row r="205" spans="1:4">
      <c r="A205" s="38" t="s">
        <v>57</v>
      </c>
      <c r="B205" s="35">
        <v>1</v>
      </c>
      <c r="C205" s="36">
        <v>36000</v>
      </c>
      <c r="D205" s="37">
        <v>36000</v>
      </c>
    </row>
    <row r="206" spans="1:4">
      <c r="A206" s="38" t="s">
        <v>87</v>
      </c>
      <c r="B206" s="35">
        <v>1</v>
      </c>
      <c r="C206" s="36">
        <v>7000</v>
      </c>
      <c r="D206" s="37">
        <v>7000</v>
      </c>
    </row>
    <row r="207" spans="1:4">
      <c r="A207" s="38"/>
      <c r="B207" s="35"/>
      <c r="C207" s="36"/>
      <c r="D207" s="37"/>
    </row>
    <row r="208" spans="1:4">
      <c r="A208" s="34" t="s">
        <v>78</v>
      </c>
      <c r="B208" s="34" t="s">
        <v>1</v>
      </c>
      <c r="C208" s="34" t="s">
        <v>76</v>
      </c>
      <c r="D208" s="34" t="s">
        <v>77</v>
      </c>
    </row>
    <row r="209" spans="1:4">
      <c r="A209" s="38" t="s">
        <v>58</v>
      </c>
      <c r="B209" s="35">
        <v>2</v>
      </c>
      <c r="C209" s="36">
        <v>30000</v>
      </c>
      <c r="D209" s="37">
        <v>60000</v>
      </c>
    </row>
    <row r="210" spans="1:4">
      <c r="A210" s="38" t="s">
        <v>80</v>
      </c>
      <c r="B210" s="35">
        <v>1</v>
      </c>
      <c r="C210" s="36">
        <v>24000</v>
      </c>
      <c r="D210" s="37">
        <v>24000</v>
      </c>
    </row>
    <row r="211" spans="1:4">
      <c r="A211" s="38" t="s">
        <v>83</v>
      </c>
      <c r="B211" s="35">
        <v>1</v>
      </c>
      <c r="C211" s="36">
        <v>6000</v>
      </c>
      <c r="D211" s="37">
        <v>6000</v>
      </c>
    </row>
    <row r="212" spans="1:4">
      <c r="A212" s="38"/>
      <c r="B212" s="35"/>
      <c r="C212" s="36"/>
      <c r="D212" s="37"/>
    </row>
    <row r="213" spans="1:4">
      <c r="A213" s="98" t="s">
        <v>2</v>
      </c>
      <c r="B213" s="99"/>
      <c r="C213" s="99"/>
      <c r="D213" s="39"/>
    </row>
    <row r="215" spans="1:4">
      <c r="A215" s="34" t="s">
        <v>78</v>
      </c>
      <c r="B215" s="34" t="s">
        <v>1</v>
      </c>
      <c r="C215" s="34" t="s">
        <v>76</v>
      </c>
      <c r="D215" s="34" t="s">
        <v>77</v>
      </c>
    </row>
    <row r="216" spans="1:4">
      <c r="A216" s="38" t="s">
        <v>57</v>
      </c>
      <c r="B216" s="35">
        <v>1</v>
      </c>
      <c r="C216" s="36">
        <v>36000</v>
      </c>
      <c r="D216" s="37">
        <v>36000</v>
      </c>
    </row>
    <row r="217" spans="1:4">
      <c r="A217" s="38" t="s">
        <v>83</v>
      </c>
      <c r="B217" s="35">
        <v>1</v>
      </c>
      <c r="C217" s="36">
        <v>6000</v>
      </c>
      <c r="D217" s="37">
        <v>6000</v>
      </c>
    </row>
    <row r="218" spans="1:4">
      <c r="A218" s="38" t="s">
        <v>79</v>
      </c>
      <c r="B218" s="35">
        <v>1</v>
      </c>
      <c r="C218" s="36">
        <v>23000</v>
      </c>
      <c r="D218" s="37">
        <v>23000</v>
      </c>
    </row>
    <row r="219" spans="1:4">
      <c r="A219" s="38" t="s">
        <v>87</v>
      </c>
      <c r="B219" s="35">
        <v>1</v>
      </c>
      <c r="C219" s="36">
        <v>7000</v>
      </c>
      <c r="D219" s="37">
        <v>7000</v>
      </c>
    </row>
    <row r="220" spans="1:4">
      <c r="A220" s="38" t="s">
        <v>93</v>
      </c>
      <c r="B220" s="35">
        <v>1</v>
      </c>
      <c r="C220" s="36">
        <v>6000</v>
      </c>
      <c r="D220" s="37">
        <v>6000</v>
      </c>
    </row>
    <row r="221" spans="1:4">
      <c r="A221" s="38"/>
      <c r="B221" s="35"/>
      <c r="C221" s="36"/>
      <c r="D221" s="37"/>
    </row>
    <row r="222" spans="1:4">
      <c r="A222" s="98" t="s">
        <v>2</v>
      </c>
      <c r="B222" s="99"/>
      <c r="C222" s="99"/>
      <c r="D222" s="39"/>
    </row>
    <row r="224" spans="1:4">
      <c r="A224" s="34" t="s">
        <v>78</v>
      </c>
      <c r="B224" s="34" t="s">
        <v>1</v>
      </c>
      <c r="C224" s="34" t="s">
        <v>76</v>
      </c>
      <c r="D224" s="34" t="s">
        <v>77</v>
      </c>
    </row>
    <row r="225" spans="1:4">
      <c r="A225" s="38" t="s">
        <v>62</v>
      </c>
      <c r="B225" s="35">
        <v>1</v>
      </c>
      <c r="C225" s="36">
        <v>25000</v>
      </c>
      <c r="D225" s="37">
        <v>25000</v>
      </c>
    </row>
    <row r="226" spans="1:4">
      <c r="A226" s="38" t="s">
        <v>75</v>
      </c>
      <c r="B226" s="35">
        <v>1</v>
      </c>
      <c r="C226" s="36">
        <v>32000</v>
      </c>
      <c r="D226" s="37">
        <v>32000</v>
      </c>
    </row>
    <row r="227" spans="1:4">
      <c r="A227" s="38" t="s">
        <v>61</v>
      </c>
      <c r="B227" s="35">
        <v>1</v>
      </c>
      <c r="C227" s="36">
        <v>28000</v>
      </c>
      <c r="D227" s="37">
        <v>28000</v>
      </c>
    </row>
    <row r="228" spans="1:4">
      <c r="A228" s="38" t="s">
        <v>86</v>
      </c>
      <c r="B228" s="35">
        <v>2</v>
      </c>
      <c r="C228" s="36">
        <v>28000</v>
      </c>
      <c r="D228" s="37">
        <v>56000</v>
      </c>
    </row>
    <row r="229" spans="1:4">
      <c r="A229" s="38" t="s">
        <v>83</v>
      </c>
      <c r="B229" s="35">
        <v>2</v>
      </c>
      <c r="C229" s="36">
        <v>6000</v>
      </c>
      <c r="D229" s="37">
        <v>12000</v>
      </c>
    </row>
    <row r="230" spans="1:4">
      <c r="A230" s="38" t="s">
        <v>58</v>
      </c>
      <c r="B230" s="35">
        <v>1</v>
      </c>
      <c r="C230" s="36">
        <v>30000</v>
      </c>
      <c r="D230" s="37">
        <v>30000</v>
      </c>
    </row>
    <row r="231" spans="1:4">
      <c r="A231" s="38"/>
      <c r="B231" s="35"/>
      <c r="C231" s="36"/>
      <c r="D231" s="37"/>
    </row>
    <row r="232" spans="1:4">
      <c r="A232" s="98" t="s">
        <v>2</v>
      </c>
      <c r="B232" s="99"/>
      <c r="C232" s="99"/>
      <c r="D232" s="39"/>
    </row>
    <row r="234" spans="1:4">
      <c r="A234" s="34" t="s">
        <v>78</v>
      </c>
      <c r="B234" s="34" t="s">
        <v>1</v>
      </c>
      <c r="C234" s="34" t="s">
        <v>76</v>
      </c>
      <c r="D234" s="34" t="s">
        <v>77</v>
      </c>
    </row>
    <row r="235" spans="1:4">
      <c r="A235" s="38" t="s">
        <v>61</v>
      </c>
      <c r="B235" s="35">
        <v>1</v>
      </c>
      <c r="C235" s="36">
        <v>28000</v>
      </c>
      <c r="D235" s="37">
        <v>28000</v>
      </c>
    </row>
    <row r="236" spans="1:4">
      <c r="A236" s="38" t="s">
        <v>58</v>
      </c>
      <c r="B236" s="35">
        <v>1</v>
      </c>
      <c r="C236" s="36">
        <v>30000</v>
      </c>
      <c r="D236" s="37">
        <v>30000</v>
      </c>
    </row>
    <row r="237" spans="1:4">
      <c r="A237" s="38"/>
      <c r="B237" s="35"/>
      <c r="C237" s="36"/>
      <c r="D237" s="37"/>
    </row>
    <row r="238" spans="1:4">
      <c r="A238" s="98" t="s">
        <v>2</v>
      </c>
      <c r="B238" s="99"/>
      <c r="C238" s="99"/>
      <c r="D238" s="39"/>
    </row>
    <row r="240" spans="1:4">
      <c r="A240" s="34" t="s">
        <v>78</v>
      </c>
      <c r="B240" s="34" t="s">
        <v>1</v>
      </c>
      <c r="C240" s="34" t="s">
        <v>76</v>
      </c>
      <c r="D240" s="34" t="s">
        <v>77</v>
      </c>
    </row>
    <row r="241" spans="1:4">
      <c r="A241" s="38" t="s">
        <v>86</v>
      </c>
      <c r="B241" s="35">
        <v>2</v>
      </c>
      <c r="C241" s="36">
        <v>28000</v>
      </c>
      <c r="D241" s="37">
        <v>56000</v>
      </c>
    </row>
    <row r="242" spans="1:4">
      <c r="A242" s="38" t="s">
        <v>89</v>
      </c>
      <c r="B242" s="35">
        <v>2</v>
      </c>
      <c r="C242" s="36">
        <v>6000</v>
      </c>
      <c r="D242" s="37">
        <v>12000</v>
      </c>
    </row>
    <row r="243" spans="1:4">
      <c r="A243" s="38" t="s">
        <v>88</v>
      </c>
      <c r="B243" s="35">
        <v>2</v>
      </c>
      <c r="C243" s="36">
        <v>7000</v>
      </c>
      <c r="D243" s="37">
        <v>14000</v>
      </c>
    </row>
    <row r="244" spans="1:4">
      <c r="A244" s="38" t="s">
        <v>94</v>
      </c>
      <c r="B244" s="35">
        <v>2</v>
      </c>
      <c r="C244" s="36">
        <v>6000</v>
      </c>
      <c r="D244" s="37">
        <v>12000</v>
      </c>
    </row>
    <row r="245" spans="1:4">
      <c r="A245" s="38" t="s">
        <v>93</v>
      </c>
      <c r="B245" s="35">
        <v>2</v>
      </c>
      <c r="C245" s="36">
        <v>6000</v>
      </c>
      <c r="D245" s="37">
        <v>12000</v>
      </c>
    </row>
    <row r="246" spans="1:4">
      <c r="A246" s="38" t="s">
        <v>95</v>
      </c>
      <c r="B246" s="35">
        <v>2</v>
      </c>
      <c r="C246" s="36">
        <v>6000</v>
      </c>
      <c r="D246" s="37">
        <v>12000</v>
      </c>
    </row>
    <row r="247" spans="1:4">
      <c r="A247" s="38" t="s">
        <v>87</v>
      </c>
      <c r="B247" s="35">
        <v>2</v>
      </c>
      <c r="C247" s="36">
        <v>7000</v>
      </c>
      <c r="D247" s="37">
        <v>14000</v>
      </c>
    </row>
    <row r="248" spans="1:4">
      <c r="A248" s="38"/>
      <c r="B248" s="35"/>
      <c r="C248" s="36"/>
      <c r="D248" s="37"/>
    </row>
    <row r="249" spans="1:4">
      <c r="A249" s="98" t="s">
        <v>2</v>
      </c>
      <c r="B249" s="99"/>
      <c r="C249" s="99"/>
      <c r="D249" s="39"/>
    </row>
    <row r="251" spans="1:4">
      <c r="A251" s="34" t="s">
        <v>78</v>
      </c>
      <c r="B251" s="34" t="s">
        <v>1</v>
      </c>
      <c r="C251" s="34" t="s">
        <v>76</v>
      </c>
      <c r="D251" s="34" t="s">
        <v>77</v>
      </c>
    </row>
    <row r="252" spans="1:4">
      <c r="A252" s="38" t="s">
        <v>79</v>
      </c>
      <c r="B252" s="35">
        <v>4</v>
      </c>
      <c r="C252" s="36">
        <v>23000</v>
      </c>
      <c r="D252" s="37">
        <v>92000</v>
      </c>
    </row>
    <row r="253" spans="1:4">
      <c r="A253" s="38" t="s">
        <v>83</v>
      </c>
      <c r="B253" s="35">
        <v>4</v>
      </c>
      <c r="C253" s="36">
        <v>6000</v>
      </c>
      <c r="D253" s="37">
        <v>24000</v>
      </c>
    </row>
    <row r="254" spans="1:4">
      <c r="A254" s="38" t="s">
        <v>61</v>
      </c>
      <c r="B254" s="35">
        <v>1</v>
      </c>
      <c r="C254" s="36">
        <v>28000</v>
      </c>
      <c r="D254" s="37">
        <v>28000</v>
      </c>
    </row>
    <row r="255" spans="1:4">
      <c r="A255" s="38" t="s">
        <v>62</v>
      </c>
      <c r="B255" s="35">
        <v>1</v>
      </c>
      <c r="C255" s="36">
        <v>25000</v>
      </c>
      <c r="D255" s="37">
        <v>25000</v>
      </c>
    </row>
    <row r="256" spans="1:4">
      <c r="A256" s="38"/>
      <c r="B256" s="35"/>
      <c r="C256" s="36"/>
      <c r="D256" s="37"/>
    </row>
    <row r="257" spans="1:4">
      <c r="A257" s="98" t="s">
        <v>2</v>
      </c>
      <c r="B257" s="99"/>
      <c r="C257" s="99"/>
      <c r="D257" s="39"/>
    </row>
    <row r="259" spans="1:4">
      <c r="A259" s="34" t="s">
        <v>78</v>
      </c>
      <c r="B259" s="34" t="s">
        <v>1</v>
      </c>
      <c r="C259" s="34" t="s">
        <v>76</v>
      </c>
      <c r="D259" s="34" t="s">
        <v>77</v>
      </c>
    </row>
    <row r="260" spans="1:4">
      <c r="A260" s="38" t="s">
        <v>61</v>
      </c>
      <c r="B260" s="35">
        <v>1</v>
      </c>
      <c r="C260" s="36">
        <v>28000</v>
      </c>
      <c r="D260" s="37">
        <v>28000</v>
      </c>
    </row>
    <row r="261" spans="1:4">
      <c r="A261" s="38" t="s">
        <v>79</v>
      </c>
      <c r="B261" s="35">
        <v>1</v>
      </c>
      <c r="C261" s="36">
        <v>23000</v>
      </c>
      <c r="D261" s="37">
        <v>23000</v>
      </c>
    </row>
    <row r="262" spans="1:4">
      <c r="A262" s="38" t="s">
        <v>83</v>
      </c>
      <c r="B262" s="35">
        <v>1</v>
      </c>
      <c r="C262" s="36">
        <v>6000</v>
      </c>
      <c r="D262" s="37">
        <v>6000</v>
      </c>
    </row>
    <row r="263" spans="1:4">
      <c r="A263" s="38"/>
      <c r="B263" s="35"/>
      <c r="C263" s="36"/>
      <c r="D263" s="37"/>
    </row>
    <row r="264" spans="1:4">
      <c r="A264" s="34" t="s">
        <v>78</v>
      </c>
      <c r="B264" s="34" t="s">
        <v>1</v>
      </c>
      <c r="C264" s="34" t="s">
        <v>76</v>
      </c>
      <c r="D264" s="34" t="s">
        <v>77</v>
      </c>
    </row>
    <row r="265" spans="1:4">
      <c r="A265" s="38" t="s">
        <v>82</v>
      </c>
      <c r="B265" s="35">
        <v>2</v>
      </c>
      <c r="C265" s="36">
        <v>28000</v>
      </c>
      <c r="D265" s="37">
        <v>56000</v>
      </c>
    </row>
    <row r="266" spans="1:4">
      <c r="A266" s="38"/>
      <c r="B266" s="35"/>
      <c r="C266" s="36"/>
      <c r="D266" s="37"/>
    </row>
    <row r="267" spans="1:4">
      <c r="A267" s="98" t="s">
        <v>2</v>
      </c>
      <c r="B267" s="99"/>
      <c r="C267" s="99"/>
      <c r="D267" s="39"/>
    </row>
    <row r="269" spans="1:4">
      <c r="A269" s="34" t="s">
        <v>78</v>
      </c>
      <c r="B269" s="34" t="s">
        <v>1</v>
      </c>
      <c r="C269" s="34" t="s">
        <v>76</v>
      </c>
      <c r="D269" s="34" t="s">
        <v>77</v>
      </c>
    </row>
    <row r="270" spans="1:4">
      <c r="A270" s="38" t="s">
        <v>80</v>
      </c>
      <c r="B270" s="35">
        <v>1</v>
      </c>
      <c r="C270" s="36">
        <v>24000</v>
      </c>
      <c r="D270" s="37">
        <v>24000</v>
      </c>
    </row>
    <row r="271" spans="1:4">
      <c r="A271" s="38"/>
      <c r="B271" s="35"/>
      <c r="C271" s="36"/>
      <c r="D271" s="37"/>
    </row>
    <row r="272" spans="1:4">
      <c r="A272" s="34" t="s">
        <v>78</v>
      </c>
      <c r="B272" s="34" t="s">
        <v>1</v>
      </c>
      <c r="C272" s="34" t="s">
        <v>76</v>
      </c>
      <c r="D272" s="34" t="s">
        <v>77</v>
      </c>
    </row>
    <row r="273" spans="1:4">
      <c r="A273" s="38" t="s">
        <v>62</v>
      </c>
      <c r="B273" s="35">
        <v>1</v>
      </c>
      <c r="C273" s="36">
        <v>25000</v>
      </c>
      <c r="D273" s="37">
        <v>25000</v>
      </c>
    </row>
    <row r="274" spans="1:4">
      <c r="A274" s="38" t="s">
        <v>58</v>
      </c>
      <c r="B274" s="35">
        <v>1</v>
      </c>
      <c r="C274" s="36">
        <v>30000</v>
      </c>
      <c r="D274" s="37">
        <v>30000</v>
      </c>
    </row>
    <row r="275" spans="1:4">
      <c r="A275" s="38" t="s">
        <v>79</v>
      </c>
      <c r="B275" s="35">
        <v>1</v>
      </c>
      <c r="C275" s="36" t="s">
        <v>90</v>
      </c>
      <c r="D275" s="37"/>
    </row>
    <row r="276" spans="1:4">
      <c r="A276" s="38" t="s">
        <v>89</v>
      </c>
      <c r="B276" s="35">
        <v>2</v>
      </c>
      <c r="C276" s="36">
        <v>6000</v>
      </c>
      <c r="D276" s="37">
        <v>12000</v>
      </c>
    </row>
    <row r="277" spans="1:4">
      <c r="A277" s="38"/>
      <c r="B277" s="35"/>
      <c r="C277" s="36"/>
      <c r="D277" s="37"/>
    </row>
  </sheetData>
  <mergeCells count="95">
    <mergeCell ref="U29:W29"/>
    <mergeCell ref="U6:X6"/>
    <mergeCell ref="U11:W11"/>
    <mergeCell ref="U14:X14"/>
    <mergeCell ref="U18:W18"/>
    <mergeCell ref="U21:X21"/>
    <mergeCell ref="P101:R101"/>
    <mergeCell ref="P108:R108"/>
    <mergeCell ref="P113:R113"/>
    <mergeCell ref="P119:R119"/>
    <mergeCell ref="P68:R68"/>
    <mergeCell ref="P75:R75"/>
    <mergeCell ref="P81:R81"/>
    <mergeCell ref="P87:R87"/>
    <mergeCell ref="P95:R95"/>
    <mergeCell ref="P36:R36"/>
    <mergeCell ref="P41:R41"/>
    <mergeCell ref="P48:R48"/>
    <mergeCell ref="P55:R55"/>
    <mergeCell ref="P62:R62"/>
    <mergeCell ref="P8:R8"/>
    <mergeCell ref="P13:R13"/>
    <mergeCell ref="P19:R19"/>
    <mergeCell ref="P26:R26"/>
    <mergeCell ref="P31:R31"/>
    <mergeCell ref="K145:M145"/>
    <mergeCell ref="K117:M117"/>
    <mergeCell ref="K122:M122"/>
    <mergeCell ref="K128:M128"/>
    <mergeCell ref="K133:M133"/>
    <mergeCell ref="K140:M140"/>
    <mergeCell ref="K82:M82"/>
    <mergeCell ref="K93:M93"/>
    <mergeCell ref="K100:M100"/>
    <mergeCell ref="K107:M107"/>
    <mergeCell ref="K112:M112"/>
    <mergeCell ref="K44:M44"/>
    <mergeCell ref="K51:M51"/>
    <mergeCell ref="K60:M60"/>
    <mergeCell ref="K71:M71"/>
    <mergeCell ref="K76:M76"/>
    <mergeCell ref="K8:M8"/>
    <mergeCell ref="K15:M15"/>
    <mergeCell ref="K21:M21"/>
    <mergeCell ref="K26:M26"/>
    <mergeCell ref="K34:M34"/>
    <mergeCell ref="A267:C267"/>
    <mergeCell ref="A213:C213"/>
    <mergeCell ref="A222:C222"/>
    <mergeCell ref="A232:C232"/>
    <mergeCell ref="A238:C238"/>
    <mergeCell ref="A249:C249"/>
    <mergeCell ref="A257:C257"/>
    <mergeCell ref="A199:C199"/>
    <mergeCell ref="A115:C115"/>
    <mergeCell ref="A125:C125"/>
    <mergeCell ref="A131:C131"/>
    <mergeCell ref="A139:C139"/>
    <mergeCell ref="A146:C146"/>
    <mergeCell ref="A152:C152"/>
    <mergeCell ref="A158:C158"/>
    <mergeCell ref="A164:C164"/>
    <mergeCell ref="A169:C169"/>
    <mergeCell ref="A177:C177"/>
    <mergeCell ref="A186:C186"/>
    <mergeCell ref="A109:C109"/>
    <mergeCell ref="A8:C8"/>
    <mergeCell ref="A32:C32"/>
    <mergeCell ref="A38:C38"/>
    <mergeCell ref="A44:C44"/>
    <mergeCell ref="A51:C51"/>
    <mergeCell ref="A73:C73"/>
    <mergeCell ref="A78:C78"/>
    <mergeCell ref="A85:C85"/>
    <mergeCell ref="A93:C93"/>
    <mergeCell ref="A98:C98"/>
    <mergeCell ref="A104:C104"/>
    <mergeCell ref="F8:H8"/>
    <mergeCell ref="F14:H14"/>
    <mergeCell ref="F19:H19"/>
    <mergeCell ref="F27:H27"/>
    <mergeCell ref="F33:H33"/>
    <mergeCell ref="F41:H41"/>
    <mergeCell ref="F48:H48"/>
    <mergeCell ref="F53:H53"/>
    <mergeCell ref="F60:H60"/>
    <mergeCell ref="F66:H66"/>
    <mergeCell ref="F101:H101"/>
    <mergeCell ref="F106:H106"/>
    <mergeCell ref="F113:H113"/>
    <mergeCell ref="F72:H72"/>
    <mergeCell ref="F78:H78"/>
    <mergeCell ref="F83:H83"/>
    <mergeCell ref="F88:H88"/>
    <mergeCell ref="F93:H9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MENU</vt:lpstr>
      <vt:lpstr>MATERIAL</vt:lpstr>
      <vt:lpstr>BILL</vt:lpstr>
      <vt:lpstr>DT</vt:lpstr>
      <vt:lpstr>TONG_LY</vt:lpstr>
      <vt:lpstr>1_5</vt:lpstr>
      <vt:lpstr>BILL!Print_Area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2025-05-06T11:46:53Z</cp:lastPrinted>
  <dcterms:created xsi:type="dcterms:W3CDTF">2025-04-09T14:58:51Z</dcterms:created>
  <dcterms:modified xsi:type="dcterms:W3CDTF">2025-05-07T06:45:27Z</dcterms:modified>
</cp:coreProperties>
</file>